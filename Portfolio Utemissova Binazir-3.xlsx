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Return prepared data" sheetId="2" r:id="rId6"/>
    <sheet state="visible" name="Descrptive Statistics" sheetId="3" r:id="rId7"/>
    <sheet state="visible" name="Z outliers" sheetId="4" r:id="rId8"/>
    <sheet state="visible" name="CV and sharpe ratio" sheetId="5" r:id="rId9"/>
    <sheet state="visible" name="Cov and Correlation" sheetId="6" r:id="rId10"/>
    <sheet state="visible" name="Chisq for Target and Walmart" sheetId="7" r:id="rId11"/>
    <sheet state="visible" name="F statistics test" sheetId="8" r:id="rId12"/>
    <sheet state="visible" name="Regression" sheetId="9" r:id="rId13"/>
  </sheets>
  <definedNames/>
  <calcPr/>
</workbook>
</file>

<file path=xl/sharedStrings.xml><?xml version="1.0" encoding="utf-8"?>
<sst xmlns="http://schemas.openxmlformats.org/spreadsheetml/2006/main" count="184" uniqueCount="109">
  <si>
    <t>Date</t>
  </si>
  <si>
    <t>Open</t>
  </si>
  <si>
    <t>High</t>
  </si>
  <si>
    <t>Low</t>
  </si>
  <si>
    <t>Close</t>
  </si>
  <si>
    <t>Adj Close</t>
  </si>
  <si>
    <t>Volume</t>
  </si>
  <si>
    <t>NYSE - Nasdaq Real Time Price•USD</t>
  </si>
  <si>
    <t>SNP - Delayed Quote•USD</t>
  </si>
  <si>
    <t>Target Corporation (TGT)</t>
  </si>
  <si>
    <t>S&amp;P 500 (^GSPC)</t>
  </si>
  <si>
    <t>120.74+0.60(+0.50%)</t>
  </si>
  <si>
    <t>NasdaqGS - Nasdaq Real Time Price•USD</t>
  </si>
  <si>
    <t>6,781.48-14.51(-0.21%)</t>
  </si>
  <si>
    <t>At close: 4:00:02 PM EDT</t>
  </si>
  <si>
    <t>Walmart Inc. (WMT)</t>
  </si>
  <si>
    <t>At close: 4:31:36 PM EDT</t>
  </si>
  <si>
    <t>120.85+0.11(+0.09%)</t>
  </si>
  <si>
    <t>125.12+0.78(+0.63%)</t>
  </si>
  <si>
    <t>After hours: 5:31:22 PM EDT</t>
  </si>
  <si>
    <t>At close: 4:00:01 PM EDT</t>
  </si>
  <si>
    <t>125.04-0.08(-0.06%)</t>
  </si>
  <si>
    <t>S&amp;P 500</t>
  </si>
  <si>
    <t>Weekly Return For TGT</t>
  </si>
  <si>
    <t>Weekly Return For WMT</t>
  </si>
  <si>
    <t>GSPC</t>
  </si>
  <si>
    <t xml:space="preserve">
Target Corporation (TGT)</t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</si>
  <si>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</si>
  <si>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</si>
  <si>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</si>
  <si>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</si>
  <si>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</si>
  <si>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</si>
  <si>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</si>
  <si>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</si>
  <si>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</si>
  <si>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</si>
  <si>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Z min</t>
  </si>
  <si>
    <t>Z max</t>
  </si>
  <si>
    <t>CV</t>
  </si>
  <si>
    <t>Tbill</t>
  </si>
  <si>
    <t>Shape ratio</t>
  </si>
  <si>
    <t>COV</t>
  </si>
  <si>
    <t>Correlation</t>
  </si>
  <si>
    <t>R^2</t>
  </si>
  <si>
    <t>It was claimed that the annual volatility of Target Corporation (TGT) returns is 18%.  A random sample of 53 weekly returns from March 2025 to March 2026 was taken. At the 0.05 significance level, we conduct a Chi-Square test to determine if the actual weekly volatility is significantly different from the converted value of 0.3%.</t>
  </si>
  <si>
    <t>It was claimed that the annual volatility of Walmart Inc. (WMT) returns is 18%.  A random sample of 53 weekly returns from March 2025 to March 2026 was taken. At the 0.05 significance level, we conduct a Chi-Square test to determine if the actual weekly volatility is significantly different from the converted value of 0.3%.</t>
  </si>
  <si>
    <t>H₀: σ² = 0.00001111111111</t>
  </si>
  <si>
    <t>H₁: σ² ≠ 0.00001111111111</t>
  </si>
  <si>
    <t>n</t>
  </si>
  <si>
    <t>s</t>
  </si>
  <si>
    <t>σ₀</t>
  </si>
  <si>
    <t>α</t>
  </si>
  <si>
    <t>DOF</t>
  </si>
  <si>
    <t>s²</t>
  </si>
  <si>
    <t>σ₀²</t>
  </si>
  <si>
    <t>χ²</t>
  </si>
  <si>
    <t>P value</t>
  </si>
  <si>
    <t>p value ≈ 0.0000</t>
  </si>
  <si>
    <t>Conclusion</t>
  </si>
  <si>
    <t>p = 0.0000 &lt; 0.05</t>
  </si>
  <si>
    <t>Reject</t>
  </si>
  <si>
    <t>This indicates that there is sufficient evidence to conclude that Target Corporation’s actual weekly volatility is significantly different from the converted weekly value of 0.3%(original 18%), as per the manager's claim.</t>
  </si>
  <si>
    <t>This indicates that there is sufficient evidence to conclude that Walmart Inc. (WMT)'s actual weekly volatility is significantly different from the converted weekly value of 0.3%(original 18%), as per the manager's claim.</t>
  </si>
  <si>
    <t>A financial analyst wants to test whether Target is riskier than Walmart using variance as the measure of risk. Assume returns are normally distributed and use a 5 percent significance level.</t>
  </si>
  <si>
    <t>H₀:  σ1² ≤ σ2²</t>
  </si>
  <si>
    <t>H₁:  σ1 &gt; σ2²</t>
  </si>
  <si>
    <t>s1</t>
  </si>
  <si>
    <t>s2</t>
  </si>
  <si>
    <t>n1</t>
  </si>
  <si>
    <t>n2</t>
  </si>
  <si>
    <t xml:space="preserve">s1² </t>
  </si>
  <si>
    <t xml:space="preserve">s2² </t>
  </si>
  <si>
    <t>dof1</t>
  </si>
  <si>
    <t>dof2</t>
  </si>
  <si>
    <t>F = s₁² / s₂²</t>
  </si>
  <si>
    <t>Critical value</t>
  </si>
  <si>
    <t>Decision rule in term of critical value</t>
  </si>
  <si>
    <t>0.9930 &lt; 1.585</t>
  </si>
  <si>
    <t>Fail to reject H0</t>
  </si>
  <si>
    <t>Decision rule in terms of p value</t>
  </si>
  <si>
    <t>0.509 &gt; 0.0340</t>
  </si>
  <si>
    <t xml:space="preserve">Conclusion: </t>
  </si>
  <si>
    <t>There is sufficient evidence at the 5 percent significance level to conclude that Walmart is riskier than Target.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</si>
  <si>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</si>
  <si>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</si>
  <si>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</si>
  <si>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</si>
  <si>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</si>
  <si>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</si>
  <si>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</si>
  <si>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</si>
  <si>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</si>
  <si>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</si>
  <si>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</si>
  <si>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</si>
  <si>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</si>
  <si>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</si>
  <si>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</si>
  <si>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</si>
  <si>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</si>
  <si>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</si>
  <si>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</si>
  <si>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</si>
  <si>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</si>
  <si>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</si>
  <si>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</si>
  <si>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Y-пересечение</t>
  </si>
  <si>
    <t>Переменная X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</si>
</sst>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0.00000000000"/>
    <numFmt numFmtId="166" formatCode="0.0000"/>
    <numFmt numFmtId="167" formatCode="0.0000000"/>
    <numFmt numFmtId="168" formatCode="0.00000000"/>
    <numFmt numFmtId="169" formatCode="0.000000"/>
  </numFmts>
  <fonts count="22">
    <font>
      <sz val="10.0"/>
      <color rgb="FF000000"/>
      <name val="Arial"/>
      <scheme val="minor"/>
    </font>
    <font>
      <sz val="9.0"/>
      <color rgb="FF232A31"/>
      <name val="&quot;GT America&quot;"/>
    </font>
    <font>
      <color theme="1"/>
      <name val="Arial"/>
      <scheme val="minor"/>
    </font>
    <font>
      <sz val="9.0"/>
      <color rgb="FF232A31"/>
      <name val="GT America"/>
    </font>
    <font>
      <sz val="11.0"/>
      <color rgb="FF232A31"/>
      <name val="&quot;GT America&quot;"/>
    </font>
    <font>
      <sz val="11.0"/>
      <color rgb="FF232A31"/>
      <name val="GT America"/>
    </font>
    <font>
      <sz val="11.0"/>
      <color rgb="FF232A31"/>
      <name val="Arial"/>
    </font>
    <font>
      <color theme="1"/>
      <name val="Arial"/>
    </font>
    <font>
      <b/>
      <sz val="18.0"/>
      <color rgb="FF232A31"/>
      <name val="GT America"/>
    </font>
    <font>
      <b/>
      <sz val="18.0"/>
      <color rgb="FF232A31"/>
      <name val="&quot;GT America&quot;"/>
    </font>
    <font>
      <b/>
      <sz val="15.0"/>
      <color rgb="FF037B66"/>
      <name val="GT America"/>
    </font>
    <font>
      <b/>
      <sz val="15.0"/>
      <color rgb="FFD60A22"/>
      <name val="&quot;GT America&quot;"/>
    </font>
    <font>
      <b/>
      <sz val="9.0"/>
      <color rgb="FF037B66"/>
      <name val="GT America"/>
    </font>
    <font>
      <b/>
      <sz val="9.0"/>
      <color rgb="FFD60A22"/>
      <name val="&quot;GT America&quot;"/>
    </font>
    <font>
      <b/>
      <sz val="9.0"/>
      <color theme="1"/>
      <name val="GT America"/>
    </font>
    <font>
      <b/>
      <sz val="15.0"/>
      <color rgb="FFD60A22"/>
      <name val="GT America"/>
    </font>
    <font>
      <b/>
      <sz val="9.0"/>
      <color rgb="FF232A31"/>
      <name val="Arial"/>
    </font>
    <font>
      <b/>
      <color theme="1"/>
      <name val="Arial"/>
    </font>
    <font>
      <b/>
      <sz val="9.0"/>
      <color theme="1"/>
      <name val="Arial"/>
    </font>
    <font>
      <sz val="11.0"/>
      <color theme="1"/>
      <name val="Arial"/>
      <scheme val="minor"/>
    </font>
    <font>
      <color rgb="FF000000"/>
      <name val="Arial"/>
    </font>
    <font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DDE0E4"/>
        <bgColor rgb="FFDDE0E4"/>
      </patternFill>
    </fill>
    <fill>
      <patternFill patternType="solid">
        <fgColor rgb="FFC9DAF8"/>
        <bgColor rgb="FFC9DAF8"/>
      </patternFill>
    </fill>
    <fill>
      <patternFill patternType="solid">
        <fgColor theme="7"/>
        <bgColor theme="7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2" fontId="3" numFmtId="164" xfId="0" applyAlignment="1" applyFont="1" applyNumberFormat="1">
      <alignment vertical="bottom"/>
    </xf>
    <xf borderId="0" fillId="2" fontId="3" numFmtId="0" xfId="0" applyAlignment="1" applyFont="1">
      <alignment horizontal="right" vertical="bottom"/>
    </xf>
    <xf borderId="0" fillId="2" fontId="3" numFmtId="3" xfId="0" applyAlignment="1" applyFont="1" applyNumberFormat="1">
      <alignment horizontal="right" vertical="bottom"/>
    </xf>
    <xf borderId="0" fillId="3" fontId="4" numFmtId="164" xfId="0" applyAlignment="1" applyFill="1" applyFont="1" applyNumberFormat="1">
      <alignment horizontal="left" readingOrder="0" shrinkToFit="0" wrapText="0"/>
    </xf>
    <xf borderId="0" fillId="3" fontId="4" numFmtId="4" xfId="0" applyAlignment="1" applyFont="1" applyNumberFormat="1">
      <alignment horizontal="right" readingOrder="0" shrinkToFit="0" wrapText="0"/>
    </xf>
    <xf borderId="0" fillId="3" fontId="4" numFmtId="3" xfId="0" applyAlignment="1" applyFont="1" applyNumberFormat="1">
      <alignment horizontal="right" readingOrder="0" shrinkToFit="0" wrapText="0"/>
    </xf>
    <xf borderId="0" fillId="3" fontId="5" numFmtId="164" xfId="0" applyAlignment="1" applyFont="1" applyNumberFormat="1">
      <alignment vertical="bottom"/>
    </xf>
    <xf borderId="0" fillId="3" fontId="5" numFmtId="0" xfId="0" applyAlignment="1" applyFont="1">
      <alignment horizontal="right" vertical="bottom"/>
    </xf>
    <xf borderId="0" fillId="3" fontId="5" numFmtId="3" xfId="0" applyAlignment="1" applyFont="1" applyNumberFormat="1">
      <alignment horizontal="right" vertical="bottom"/>
    </xf>
    <xf borderId="0" fillId="2" fontId="4" numFmtId="164" xfId="0" applyAlignment="1" applyFont="1" applyNumberFormat="1">
      <alignment horizontal="left" readingOrder="0" shrinkToFit="0" wrapText="0"/>
    </xf>
    <xf borderId="0" fillId="2" fontId="4" numFmtId="4" xfId="0" applyAlignment="1" applyFont="1" applyNumberFormat="1">
      <alignment horizontal="right" readingOrder="0" shrinkToFit="0" wrapText="0"/>
    </xf>
    <xf borderId="0" fillId="2" fontId="4" numFmtId="3" xfId="0" applyAlignment="1" applyFont="1" applyNumberFormat="1">
      <alignment horizontal="right" readingOrder="0" shrinkToFit="0" wrapText="0"/>
    </xf>
    <xf borderId="0" fillId="2" fontId="5" numFmtId="164" xfId="0" applyAlignment="1" applyFont="1" applyNumberFormat="1">
      <alignment vertical="bottom"/>
    </xf>
    <xf borderId="0" fillId="2" fontId="5" numFmtId="0" xfId="0" applyAlignment="1" applyFont="1">
      <alignment horizontal="right" vertical="bottom"/>
    </xf>
    <xf borderId="0" fillId="2" fontId="5" numFmtId="3" xfId="0" applyAlignment="1" applyFont="1" applyNumberFormat="1">
      <alignment horizontal="right" vertical="bottom"/>
    </xf>
    <xf borderId="0" fillId="3" fontId="6" numFmtId="4" xfId="0" applyAlignment="1" applyFont="1" applyNumberFormat="1">
      <alignment horizontal="right" readingOrder="0" shrinkToFit="0" wrapText="0"/>
    </xf>
    <xf borderId="0" fillId="4" fontId="4" numFmtId="164" xfId="0" applyAlignment="1" applyFill="1" applyFont="1" applyNumberFormat="1">
      <alignment horizontal="left" readingOrder="0" shrinkToFit="0" wrapText="0"/>
    </xf>
    <xf borderId="0" fillId="4" fontId="4" numFmtId="4" xfId="0" applyAlignment="1" applyFont="1" applyNumberFormat="1">
      <alignment horizontal="right" readingOrder="0" shrinkToFit="0" wrapText="0"/>
    </xf>
    <xf borderId="0" fillId="4" fontId="4" numFmtId="3" xfId="0" applyAlignment="1" applyFont="1" applyNumberFormat="1">
      <alignment horizontal="right" readingOrder="0" shrinkToFit="0" wrapText="0"/>
    </xf>
    <xf borderId="0" fillId="0" fontId="2" numFmtId="164" xfId="0" applyFont="1" applyNumberFormat="1"/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2" fontId="1" numFmtId="164" xfId="0" applyAlignment="1" applyFont="1" applyNumberFormat="1">
      <alignment readingOrder="0"/>
    </xf>
    <xf borderId="0" fillId="2" fontId="8" numFmtId="164" xfId="0" applyAlignment="1" applyFont="1" applyNumberFormat="1">
      <alignment vertical="bottom"/>
    </xf>
    <xf borderId="0" fillId="2" fontId="9" numFmtId="164" xfId="0" applyAlignment="1" applyFont="1" applyNumberFormat="1">
      <alignment readingOrder="0"/>
    </xf>
    <xf borderId="0" fillId="0" fontId="10" numFmtId="164" xfId="0" applyAlignment="1" applyFont="1" applyNumberFormat="1">
      <alignment vertical="bottom"/>
    </xf>
    <xf borderId="0" fillId="0" fontId="11" numFmtId="164" xfId="0" applyAlignment="1" applyFont="1" applyNumberFormat="1">
      <alignment readingOrder="0" shrinkToFit="0" wrapText="0"/>
    </xf>
    <xf borderId="0" fillId="0" fontId="12" numFmtId="164" xfId="0" applyAlignment="1" applyFont="1" applyNumberFormat="1">
      <alignment vertical="bottom"/>
    </xf>
    <xf borderId="0" fillId="0" fontId="13" numFmtId="164" xfId="0" applyAlignment="1" applyFont="1" applyNumberFormat="1">
      <alignment readingOrder="0" shrinkToFit="0" wrapText="0"/>
    </xf>
    <xf borderId="0" fillId="0" fontId="14" numFmtId="164" xfId="0" applyAlignment="1" applyFont="1" applyNumberFormat="1">
      <alignment vertical="bottom"/>
    </xf>
    <xf borderId="0" fillId="0" fontId="15" numFmtId="164" xfId="0" applyAlignment="1" applyFont="1" applyNumberFormat="1">
      <alignment vertical="bottom"/>
    </xf>
    <xf borderId="0" fillId="2" fontId="16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5" fontId="17" numFmtId="10" xfId="0" applyAlignment="1" applyFill="1" applyFont="1" applyNumberFormat="1">
      <alignment horizontal="center" readingOrder="0" shrinkToFit="0" vertical="top" wrapText="1"/>
    </xf>
    <xf borderId="0" fillId="5" fontId="17" numFmtId="10" xfId="0" applyAlignment="1" applyFont="1" applyNumberFormat="1">
      <alignment horizontal="center" shrinkToFit="0" vertical="top" wrapText="1"/>
    </xf>
    <xf borderId="0" fillId="6" fontId="17" numFmtId="10" xfId="0" applyAlignment="1" applyFill="1" applyFont="1" applyNumberFormat="1">
      <alignment horizontal="center" readingOrder="0" shrinkToFit="0" vertical="top" wrapText="1"/>
    </xf>
    <xf borderId="0" fillId="6" fontId="17" numFmtId="10" xfId="0" applyAlignment="1" applyFont="1" applyNumberFormat="1">
      <alignment horizontal="center" shrinkToFit="0" vertical="top" wrapText="1"/>
    </xf>
    <xf borderId="0" fillId="0" fontId="2" numFmtId="0" xfId="0" applyFont="1"/>
    <xf borderId="0" fillId="0" fontId="2" numFmtId="4" xfId="0" applyFont="1" applyNumberFormat="1"/>
    <xf borderId="0" fillId="0" fontId="2" numFmtId="10" xfId="0" applyFont="1" applyNumberFormat="1"/>
    <xf borderId="0" fillId="0" fontId="2" numFmtId="9" xfId="0" applyFont="1" applyNumberFormat="1"/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/>
    </xf>
    <xf borderId="0" fillId="3" fontId="6" numFmtId="164" xfId="0" applyAlignment="1" applyFont="1" applyNumberFormat="1">
      <alignment horizontal="left" readingOrder="0" shrinkToFit="0" wrapText="0"/>
    </xf>
    <xf borderId="0" fillId="0" fontId="2" numFmtId="165" xfId="0" applyFont="1" applyNumberFormat="1"/>
    <xf borderId="0" fillId="7" fontId="7" numFmtId="0" xfId="0" applyAlignment="1" applyFill="1" applyFont="1">
      <alignment readingOrder="0" shrinkToFit="0" vertical="bottom" wrapText="1"/>
    </xf>
    <xf borderId="0" fillId="7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vertical="bottom"/>
    </xf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0" fillId="0" fontId="2" numFmtId="167" xfId="0" applyFont="1" applyNumberFormat="1"/>
    <xf borderId="0" fillId="0" fontId="20" numFmtId="0" xfId="0" applyAlignment="1" applyFont="1">
      <alignment vertical="bottom"/>
    </xf>
    <xf borderId="0" fillId="0" fontId="20" numFmtId="0" xfId="0" applyAlignment="1" applyFont="1">
      <alignment readingOrder="0" shrinkToFit="0" vertical="bottom" wrapText="1"/>
    </xf>
    <xf borderId="0" fillId="5" fontId="7" numFmtId="0" xfId="0" applyAlignment="1" applyFont="1">
      <alignment vertical="bottom"/>
    </xf>
    <xf borderId="0" fillId="0" fontId="21" numFmtId="168" xfId="0" applyAlignment="1" applyFont="1" applyNumberFormat="1">
      <alignment readingOrder="0"/>
    </xf>
    <xf borderId="0" fillId="0" fontId="21" numFmtId="168" xfId="0" applyFont="1" applyNumberFormat="1"/>
    <xf borderId="0" fillId="0" fontId="2" numFmtId="169" xfId="0" applyFont="1" applyNumberFormat="1"/>
    <xf borderId="0" fillId="0" fontId="2" numFmtId="168" xfId="0" applyFont="1" applyNumberForma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
TGT VS WMT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'Cov and Correlation'!$C$1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'Cov and Correlation'!$B$2:$B$55</c:f>
            </c:numRef>
          </c:xVal>
          <c:yVal>
            <c:numRef>
              <c:f>'Cov and Correlation'!$C$2:$C$55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347582"/>
        <c:axId val="434336455"/>
      </c:scatterChart>
      <c:valAx>
        <c:axId val="3843475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336455"/>
      </c:valAx>
      <c:valAx>
        <c:axId val="434336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347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5</xdr:row>
      <xdr:rowOff>0</xdr:rowOff>
    </xdr:from>
    <xdr:ext cx="4295775" cy="2657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J1" s="4" t="s">
        <v>0</v>
      </c>
      <c r="K1" s="5" t="s">
        <v>1</v>
      </c>
      <c r="L1" s="5" t="s">
        <v>2</v>
      </c>
      <c r="M1" s="5" t="s">
        <v>3</v>
      </c>
      <c r="N1" s="5" t="s">
        <v>4</v>
      </c>
      <c r="O1" s="5" t="s">
        <v>5</v>
      </c>
      <c r="P1" s="5" t="s">
        <v>6</v>
      </c>
      <c r="Q1" s="3"/>
      <c r="S1" s="4" t="s">
        <v>0</v>
      </c>
      <c r="T1" s="5" t="s">
        <v>1</v>
      </c>
      <c r="U1" s="5" t="s">
        <v>2</v>
      </c>
      <c r="V1" s="5" t="s">
        <v>3</v>
      </c>
      <c r="W1" s="5" t="s">
        <v>4</v>
      </c>
      <c r="X1" s="5" t="s">
        <v>5</v>
      </c>
      <c r="Y1" s="6" t="s">
        <v>6</v>
      </c>
      <c r="Z1" s="3"/>
    </row>
    <row r="2">
      <c r="A2" s="7">
        <v>46091.0</v>
      </c>
      <c r="B2" s="8">
        <v>6796.56</v>
      </c>
      <c r="C2" s="8">
        <v>6845.08</v>
      </c>
      <c r="D2" s="8">
        <v>6759.74</v>
      </c>
      <c r="E2" s="8">
        <v>6781.48</v>
      </c>
      <c r="F2" s="8">
        <v>6781.48</v>
      </c>
      <c r="G2" s="9">
        <v>3.146682E9</v>
      </c>
      <c r="J2" s="10">
        <v>46091.0</v>
      </c>
      <c r="K2" s="11">
        <v>119.49</v>
      </c>
      <c r="L2" s="11">
        <v>122.47</v>
      </c>
      <c r="M2" s="11">
        <v>118.57</v>
      </c>
      <c r="N2" s="11">
        <v>120.74</v>
      </c>
      <c r="O2" s="11">
        <v>120.74</v>
      </c>
      <c r="P2" s="12">
        <v>4390116.0</v>
      </c>
      <c r="S2" s="10">
        <v>46091.0</v>
      </c>
      <c r="T2" s="11">
        <v>124.21</v>
      </c>
      <c r="U2" s="11">
        <v>126.1</v>
      </c>
      <c r="V2" s="11">
        <v>123.35</v>
      </c>
      <c r="W2" s="11">
        <v>125.12</v>
      </c>
      <c r="X2" s="11">
        <v>125.12</v>
      </c>
      <c r="Y2" s="12">
        <v>1.8749829E7</v>
      </c>
    </row>
    <row r="3">
      <c r="A3" s="13">
        <v>46090.0</v>
      </c>
      <c r="B3" s="14">
        <v>6699.8</v>
      </c>
      <c r="C3" s="14">
        <v>6810.44</v>
      </c>
      <c r="D3" s="14">
        <v>6636.04</v>
      </c>
      <c r="E3" s="14">
        <v>6795.99</v>
      </c>
      <c r="F3" s="14">
        <v>6795.99</v>
      </c>
      <c r="G3" s="15">
        <v>6.70941E9</v>
      </c>
      <c r="J3" s="16">
        <v>46090.0</v>
      </c>
      <c r="K3" s="17">
        <v>118.66</v>
      </c>
      <c r="L3" s="17">
        <v>120.16</v>
      </c>
      <c r="M3" s="17">
        <v>115.75</v>
      </c>
      <c r="N3" s="17">
        <v>120.14</v>
      </c>
      <c r="O3" s="17">
        <v>120.14</v>
      </c>
      <c r="P3" s="18">
        <v>6005500.0</v>
      </c>
      <c r="S3" s="16">
        <v>46090.0</v>
      </c>
      <c r="T3" s="17">
        <v>123.69</v>
      </c>
      <c r="U3" s="17">
        <v>124.51</v>
      </c>
      <c r="V3" s="17">
        <v>122.5</v>
      </c>
      <c r="W3" s="17">
        <v>124.34</v>
      </c>
      <c r="X3" s="17">
        <v>124.34</v>
      </c>
      <c r="Y3" s="18">
        <v>1.93759E7</v>
      </c>
    </row>
    <row r="4">
      <c r="A4" s="7">
        <v>46083.0</v>
      </c>
      <c r="B4" s="8">
        <v>6824.36</v>
      </c>
      <c r="C4" s="8">
        <v>6901.01</v>
      </c>
      <c r="D4" s="8">
        <v>6710.42</v>
      </c>
      <c r="E4" s="8">
        <v>6740.02</v>
      </c>
      <c r="F4" s="8">
        <v>6740.02</v>
      </c>
      <c r="G4" s="9">
        <v>2.955575E10</v>
      </c>
      <c r="J4" s="10">
        <v>46083.0</v>
      </c>
      <c r="K4" s="11">
        <v>111.84</v>
      </c>
      <c r="L4" s="11">
        <v>126.0</v>
      </c>
      <c r="M4" s="11">
        <v>111.25</v>
      </c>
      <c r="N4" s="11">
        <v>120.79</v>
      </c>
      <c r="O4" s="11">
        <v>120.79</v>
      </c>
      <c r="P4" s="12">
        <v>4.45995E7</v>
      </c>
      <c r="S4" s="10">
        <v>46083.0</v>
      </c>
      <c r="T4" s="11">
        <v>127.46</v>
      </c>
      <c r="U4" s="11">
        <v>128.75</v>
      </c>
      <c r="V4" s="11">
        <v>121.62</v>
      </c>
      <c r="W4" s="11">
        <v>123.8</v>
      </c>
      <c r="X4" s="11">
        <v>123.8</v>
      </c>
      <c r="Y4" s="12">
        <v>1.001639E8</v>
      </c>
    </row>
    <row r="5">
      <c r="A5" s="13">
        <v>46076.0</v>
      </c>
      <c r="B5" s="14">
        <v>6901.25</v>
      </c>
      <c r="C5" s="14">
        <v>6952.51</v>
      </c>
      <c r="D5" s="14">
        <v>6815.43</v>
      </c>
      <c r="E5" s="14">
        <v>6878.88</v>
      </c>
      <c r="F5" s="14">
        <v>6878.88</v>
      </c>
      <c r="G5" s="15">
        <v>2.878771E10</v>
      </c>
      <c r="J5" s="16">
        <v>46076.0</v>
      </c>
      <c r="K5" s="17">
        <v>116.08</v>
      </c>
      <c r="L5" s="17">
        <v>118.7</v>
      </c>
      <c r="M5" s="17">
        <v>111.11</v>
      </c>
      <c r="N5" s="17">
        <v>113.79</v>
      </c>
      <c r="O5" s="17">
        <v>113.79</v>
      </c>
      <c r="P5" s="18">
        <v>2.97718E7</v>
      </c>
      <c r="S5" s="16">
        <v>46076.0</v>
      </c>
      <c r="T5" s="17">
        <v>123.52</v>
      </c>
      <c r="U5" s="17">
        <v>128.6</v>
      </c>
      <c r="V5" s="17">
        <v>122.96</v>
      </c>
      <c r="W5" s="17">
        <v>127.95</v>
      </c>
      <c r="X5" s="17">
        <v>127.95</v>
      </c>
      <c r="Y5" s="18">
        <v>1.110135E8</v>
      </c>
    </row>
    <row r="6">
      <c r="A6" s="7">
        <v>46069.0</v>
      </c>
      <c r="B6" s="8">
        <v>6819.86</v>
      </c>
      <c r="C6" s="8">
        <v>6915.86</v>
      </c>
      <c r="D6" s="8">
        <v>6775.5</v>
      </c>
      <c r="E6" s="8">
        <v>6909.51</v>
      </c>
      <c r="F6" s="8">
        <v>6909.51</v>
      </c>
      <c r="G6" s="9">
        <v>2.110081E10</v>
      </c>
      <c r="J6" s="10">
        <v>46069.0</v>
      </c>
      <c r="K6" s="11">
        <v>116.9</v>
      </c>
      <c r="L6" s="11">
        <v>118.98</v>
      </c>
      <c r="M6" s="11">
        <v>114.19</v>
      </c>
      <c r="N6" s="11">
        <v>116.69</v>
      </c>
      <c r="O6" s="11">
        <v>116.69</v>
      </c>
      <c r="P6" s="12">
        <v>2.17844E7</v>
      </c>
      <c r="S6" s="10">
        <v>46069.0</v>
      </c>
      <c r="T6" s="11">
        <v>133.11</v>
      </c>
      <c r="U6" s="11">
        <v>134.69</v>
      </c>
      <c r="V6" s="11">
        <v>121.05</v>
      </c>
      <c r="W6" s="11">
        <v>122.99</v>
      </c>
      <c r="X6" s="11">
        <v>122.99</v>
      </c>
      <c r="Y6" s="12">
        <v>1.526252E8</v>
      </c>
    </row>
    <row r="7">
      <c r="A7" s="13">
        <v>46062.0</v>
      </c>
      <c r="B7" s="14">
        <v>6917.26</v>
      </c>
      <c r="C7" s="14">
        <v>6993.48</v>
      </c>
      <c r="D7" s="14">
        <v>6794.55</v>
      </c>
      <c r="E7" s="14">
        <v>6836.17</v>
      </c>
      <c r="F7" s="14">
        <v>6836.17</v>
      </c>
      <c r="G7" s="15">
        <v>3.025878E10</v>
      </c>
      <c r="J7" s="10">
        <v>46062.0</v>
      </c>
      <c r="K7" s="11">
        <v>115.27</v>
      </c>
      <c r="L7" s="11">
        <v>117.17</v>
      </c>
      <c r="M7" s="11">
        <v>111.86</v>
      </c>
      <c r="N7" s="11">
        <v>115.76</v>
      </c>
      <c r="O7" s="11">
        <v>114.59</v>
      </c>
      <c r="P7" s="12">
        <v>2.82602E7</v>
      </c>
      <c r="S7" s="16">
        <v>46062.0</v>
      </c>
      <c r="T7" s="17">
        <v>131.42</v>
      </c>
      <c r="U7" s="17">
        <v>134.65</v>
      </c>
      <c r="V7" s="17">
        <v>126.39</v>
      </c>
      <c r="W7" s="17">
        <v>133.89</v>
      </c>
      <c r="X7" s="17">
        <v>133.89</v>
      </c>
      <c r="Y7" s="18">
        <v>1.286053E8</v>
      </c>
    </row>
    <row r="8">
      <c r="A8" s="7">
        <v>46055.0</v>
      </c>
      <c r="B8" s="8">
        <v>6916.64</v>
      </c>
      <c r="C8" s="8">
        <v>6993.08</v>
      </c>
      <c r="D8" s="8">
        <v>6780.13</v>
      </c>
      <c r="E8" s="8">
        <v>6932.3</v>
      </c>
      <c r="F8" s="8">
        <v>6932.3</v>
      </c>
      <c r="G8" s="9">
        <v>3.353826E10</v>
      </c>
      <c r="J8" s="16">
        <v>46055.0</v>
      </c>
      <c r="K8" s="17">
        <v>104.93</v>
      </c>
      <c r="L8" s="17">
        <v>115.82</v>
      </c>
      <c r="M8" s="17">
        <v>103.68</v>
      </c>
      <c r="N8" s="17">
        <v>115.55</v>
      </c>
      <c r="O8" s="17">
        <v>114.39</v>
      </c>
      <c r="P8" s="18">
        <v>4.26371E7</v>
      </c>
      <c r="S8" s="10">
        <v>46055.0</v>
      </c>
      <c r="T8" s="11">
        <v>119.5</v>
      </c>
      <c r="U8" s="11">
        <v>131.7</v>
      </c>
      <c r="V8" s="11">
        <v>119.05</v>
      </c>
      <c r="W8" s="11">
        <v>131.18</v>
      </c>
      <c r="X8" s="11">
        <v>131.18</v>
      </c>
      <c r="Y8" s="12">
        <v>1.478718E8</v>
      </c>
    </row>
    <row r="9">
      <c r="A9" s="13">
        <v>46048.0</v>
      </c>
      <c r="B9" s="14">
        <v>6923.23</v>
      </c>
      <c r="C9" s="14">
        <v>7002.28</v>
      </c>
      <c r="D9" s="14">
        <v>6870.8</v>
      </c>
      <c r="E9" s="14">
        <v>6939.03</v>
      </c>
      <c r="F9" s="14">
        <v>6939.03</v>
      </c>
      <c r="G9" s="15">
        <v>2.938256E10</v>
      </c>
      <c r="J9" s="10">
        <v>46048.0</v>
      </c>
      <c r="K9" s="11">
        <v>108.03</v>
      </c>
      <c r="L9" s="11">
        <v>108.49</v>
      </c>
      <c r="M9" s="11">
        <v>100.88</v>
      </c>
      <c r="N9" s="11">
        <v>105.47</v>
      </c>
      <c r="O9" s="11">
        <v>104.41</v>
      </c>
      <c r="P9" s="12">
        <v>2.81301E7</v>
      </c>
      <c r="S9" s="16">
        <v>46048.0</v>
      </c>
      <c r="T9" s="17">
        <v>117.81</v>
      </c>
      <c r="U9" s="17">
        <v>119.41</v>
      </c>
      <c r="V9" s="17">
        <v>115.48</v>
      </c>
      <c r="W9" s="17">
        <v>119.14</v>
      </c>
      <c r="X9" s="17">
        <v>119.14</v>
      </c>
      <c r="Y9" s="18">
        <v>9.74593E7</v>
      </c>
    </row>
    <row r="10">
      <c r="A10" s="7">
        <v>46041.0</v>
      </c>
      <c r="B10" s="8">
        <v>6865.24</v>
      </c>
      <c r="C10" s="8">
        <v>6934.75</v>
      </c>
      <c r="D10" s="8">
        <v>6789.05</v>
      </c>
      <c r="E10" s="8">
        <v>6915.61</v>
      </c>
      <c r="F10" s="8">
        <v>6915.61</v>
      </c>
      <c r="G10" s="9">
        <v>2.178453E10</v>
      </c>
      <c r="J10" s="16">
        <v>46041.0</v>
      </c>
      <c r="K10" s="17">
        <v>110.02</v>
      </c>
      <c r="L10" s="17">
        <v>110.66</v>
      </c>
      <c r="M10" s="17">
        <v>104.8</v>
      </c>
      <c r="N10" s="17">
        <v>108.1</v>
      </c>
      <c r="O10" s="17">
        <v>107.01</v>
      </c>
      <c r="P10" s="18">
        <v>2.56023E7</v>
      </c>
      <c r="S10" s="10">
        <v>46041.0</v>
      </c>
      <c r="T10" s="11">
        <v>120.89</v>
      </c>
      <c r="U10" s="11">
        <v>121.62</v>
      </c>
      <c r="V10" s="11">
        <v>117.14</v>
      </c>
      <c r="W10" s="11">
        <v>117.73</v>
      </c>
      <c r="X10" s="11">
        <v>117.73</v>
      </c>
      <c r="Y10" s="12">
        <v>1.254999E8</v>
      </c>
    </row>
    <row r="11">
      <c r="A11" s="13">
        <v>46034.0</v>
      </c>
      <c r="B11" s="14">
        <v>6944.12</v>
      </c>
      <c r="C11" s="14">
        <v>6986.33</v>
      </c>
      <c r="D11" s="14">
        <v>6885.74</v>
      </c>
      <c r="E11" s="14">
        <v>6940.01</v>
      </c>
      <c r="F11" s="14">
        <v>6940.01</v>
      </c>
      <c r="G11" s="15">
        <v>2.61122E10</v>
      </c>
      <c r="J11" s="10">
        <v>46034.0</v>
      </c>
      <c r="K11" s="11">
        <v>105.58</v>
      </c>
      <c r="L11" s="11">
        <v>111.86</v>
      </c>
      <c r="M11" s="11">
        <v>103.16</v>
      </c>
      <c r="N11" s="11">
        <v>111.28</v>
      </c>
      <c r="O11" s="11">
        <v>110.16</v>
      </c>
      <c r="P11" s="12">
        <v>3.06023E7</v>
      </c>
      <c r="S11" s="16">
        <v>46034.0</v>
      </c>
      <c r="T11" s="17">
        <v>117.5</v>
      </c>
      <c r="U11" s="17">
        <v>121.24</v>
      </c>
      <c r="V11" s="17">
        <v>116.41</v>
      </c>
      <c r="W11" s="17">
        <v>119.7</v>
      </c>
      <c r="X11" s="17">
        <v>119.7</v>
      </c>
      <c r="Y11" s="18">
        <v>5.628722E8</v>
      </c>
    </row>
    <row r="12">
      <c r="A12" s="7">
        <v>46027.0</v>
      </c>
      <c r="B12" s="8">
        <v>6892.19</v>
      </c>
      <c r="C12" s="8">
        <v>6978.36</v>
      </c>
      <c r="D12" s="8">
        <v>6891.56</v>
      </c>
      <c r="E12" s="8">
        <v>6966.28</v>
      </c>
      <c r="F12" s="8">
        <v>6966.28</v>
      </c>
      <c r="G12" s="9">
        <v>2.699319E10</v>
      </c>
      <c r="J12" s="16">
        <v>46027.0</v>
      </c>
      <c r="K12" s="17">
        <v>100.4</v>
      </c>
      <c r="L12" s="17">
        <v>108.64</v>
      </c>
      <c r="M12" s="17">
        <v>99.9</v>
      </c>
      <c r="N12" s="17">
        <v>105.52</v>
      </c>
      <c r="O12" s="17">
        <v>104.46</v>
      </c>
      <c r="P12" s="18">
        <v>3.48662E7</v>
      </c>
      <c r="S12" s="10">
        <v>46027.0</v>
      </c>
      <c r="T12" s="11">
        <v>112.82</v>
      </c>
      <c r="U12" s="11">
        <v>115.46</v>
      </c>
      <c r="V12" s="11">
        <v>109.81</v>
      </c>
      <c r="W12" s="11">
        <v>114.53</v>
      </c>
      <c r="X12" s="11">
        <v>114.53</v>
      </c>
      <c r="Y12" s="12">
        <v>1.089456E8</v>
      </c>
    </row>
    <row r="13">
      <c r="A13" s="13">
        <v>46020.0</v>
      </c>
      <c r="B13" s="14">
        <v>6903.6</v>
      </c>
      <c r="C13" s="14">
        <v>6920.21</v>
      </c>
      <c r="D13" s="14">
        <v>6824.31</v>
      </c>
      <c r="E13" s="14">
        <v>6858.47</v>
      </c>
      <c r="F13" s="14">
        <v>6858.47</v>
      </c>
      <c r="G13" s="15">
        <v>1.429763E10</v>
      </c>
      <c r="J13" s="10">
        <v>46020.0</v>
      </c>
      <c r="K13" s="11">
        <v>99.46</v>
      </c>
      <c r="L13" s="11">
        <v>101.0</v>
      </c>
      <c r="M13" s="11">
        <v>97.06</v>
      </c>
      <c r="N13" s="11">
        <v>100.51</v>
      </c>
      <c r="O13" s="11">
        <v>99.5</v>
      </c>
      <c r="P13" s="12">
        <v>2.38784E7</v>
      </c>
      <c r="S13" s="16">
        <v>46020.0</v>
      </c>
      <c r="T13" s="17">
        <v>111.59</v>
      </c>
      <c r="U13" s="17">
        <v>112.79</v>
      </c>
      <c r="V13" s="17">
        <v>111.12</v>
      </c>
      <c r="W13" s="17">
        <v>112.76</v>
      </c>
      <c r="X13" s="17">
        <v>112.76</v>
      </c>
      <c r="Y13" s="18">
        <v>5.05042E7</v>
      </c>
    </row>
    <row r="14">
      <c r="A14" s="7">
        <v>46013.0</v>
      </c>
      <c r="B14" s="8">
        <v>6865.21</v>
      </c>
      <c r="C14" s="8">
        <v>6945.77</v>
      </c>
      <c r="D14" s="8">
        <v>6855.74</v>
      </c>
      <c r="E14" s="8">
        <v>6929.94</v>
      </c>
      <c r="F14" s="8">
        <v>6929.94</v>
      </c>
      <c r="G14" s="9">
        <v>1.267041E10</v>
      </c>
      <c r="J14" s="16">
        <v>46013.0</v>
      </c>
      <c r="K14" s="17">
        <v>97.95</v>
      </c>
      <c r="L14" s="17">
        <v>103.03</v>
      </c>
      <c r="M14" s="17">
        <v>93.77</v>
      </c>
      <c r="N14" s="17">
        <v>99.55</v>
      </c>
      <c r="O14" s="17">
        <v>98.55</v>
      </c>
      <c r="P14" s="18">
        <v>3.39047E7</v>
      </c>
      <c r="S14" s="10">
        <v>46013.0</v>
      </c>
      <c r="T14" s="11">
        <v>114.01</v>
      </c>
      <c r="U14" s="11">
        <v>114.32</v>
      </c>
      <c r="V14" s="11">
        <v>110.55</v>
      </c>
      <c r="W14" s="11">
        <v>111.74</v>
      </c>
      <c r="X14" s="11">
        <v>111.74</v>
      </c>
      <c r="Y14" s="12">
        <v>5.98072E7</v>
      </c>
    </row>
    <row r="15">
      <c r="A15" s="13">
        <v>46006.0</v>
      </c>
      <c r="B15" s="14">
        <v>6860.19</v>
      </c>
      <c r="C15" s="14">
        <v>6861.59</v>
      </c>
      <c r="D15" s="14">
        <v>6720.43</v>
      </c>
      <c r="E15" s="14">
        <v>6834.5</v>
      </c>
      <c r="F15" s="14">
        <v>6834.5</v>
      </c>
      <c r="G15" s="15">
        <v>2.873656E10</v>
      </c>
      <c r="J15" s="10">
        <v>46006.0</v>
      </c>
      <c r="K15" s="11">
        <v>97.56</v>
      </c>
      <c r="L15" s="11">
        <v>101.99</v>
      </c>
      <c r="M15" s="11">
        <v>95.15</v>
      </c>
      <c r="N15" s="11">
        <v>98.01</v>
      </c>
      <c r="O15" s="11">
        <v>97.02</v>
      </c>
      <c r="P15" s="12">
        <v>3.99176E7</v>
      </c>
      <c r="S15" s="16">
        <v>46006.0</v>
      </c>
      <c r="T15" s="17">
        <v>116.93</v>
      </c>
      <c r="U15" s="17">
        <v>117.45</v>
      </c>
      <c r="V15" s="17">
        <v>113.53</v>
      </c>
      <c r="W15" s="17">
        <v>114.36</v>
      </c>
      <c r="X15" s="17">
        <v>114.36</v>
      </c>
      <c r="Y15" s="18">
        <v>1.260543E8</v>
      </c>
    </row>
    <row r="16">
      <c r="A16" s="7">
        <v>45999.0</v>
      </c>
      <c r="B16" s="8">
        <v>6875.2</v>
      </c>
      <c r="C16" s="8">
        <v>6903.46</v>
      </c>
      <c r="D16" s="8">
        <v>6801.79</v>
      </c>
      <c r="E16" s="8">
        <v>6827.41</v>
      </c>
      <c r="F16" s="8">
        <v>6827.41</v>
      </c>
      <c r="G16" s="9">
        <v>2.472297E10</v>
      </c>
      <c r="J16" s="16">
        <v>45999.0</v>
      </c>
      <c r="K16" s="17">
        <v>92.61</v>
      </c>
      <c r="L16" s="17">
        <v>98.2</v>
      </c>
      <c r="M16" s="17">
        <v>90.9</v>
      </c>
      <c r="N16" s="17">
        <v>97.09</v>
      </c>
      <c r="O16" s="17">
        <v>96.11</v>
      </c>
      <c r="P16" s="18">
        <v>3.2863E7</v>
      </c>
      <c r="S16" s="16">
        <v>45999.0</v>
      </c>
      <c r="T16" s="17">
        <v>114.57</v>
      </c>
      <c r="U16" s="17">
        <v>116.95</v>
      </c>
      <c r="V16" s="17">
        <v>112.3</v>
      </c>
      <c r="W16" s="17">
        <v>116.7</v>
      </c>
      <c r="X16" s="17">
        <v>116.46</v>
      </c>
      <c r="Y16" s="18">
        <v>1.10566E8</v>
      </c>
    </row>
    <row r="17">
      <c r="A17" s="13">
        <v>45992.0</v>
      </c>
      <c r="B17" s="14">
        <v>6812.3</v>
      </c>
      <c r="C17" s="14">
        <v>6895.78</v>
      </c>
      <c r="D17" s="14">
        <v>6799.94</v>
      </c>
      <c r="E17" s="14">
        <v>6870.4</v>
      </c>
      <c r="F17" s="14">
        <v>6870.4</v>
      </c>
      <c r="G17" s="15">
        <v>2.368544E10</v>
      </c>
      <c r="J17" s="10">
        <v>45992.0</v>
      </c>
      <c r="K17" s="11">
        <v>90.4</v>
      </c>
      <c r="L17" s="11">
        <v>93.11</v>
      </c>
      <c r="M17" s="11">
        <v>89.36</v>
      </c>
      <c r="N17" s="11">
        <v>92.19</v>
      </c>
      <c r="O17" s="11">
        <v>91.26</v>
      </c>
      <c r="P17" s="12">
        <v>3.24011E7</v>
      </c>
      <c r="S17" s="10">
        <v>45992.0</v>
      </c>
      <c r="T17" s="11">
        <v>110.51</v>
      </c>
      <c r="U17" s="11">
        <v>116.27</v>
      </c>
      <c r="V17" s="11">
        <v>110.36</v>
      </c>
      <c r="W17" s="11">
        <v>115.11</v>
      </c>
      <c r="X17" s="11">
        <v>114.88</v>
      </c>
      <c r="Y17" s="12">
        <v>1.102884E8</v>
      </c>
    </row>
    <row r="18">
      <c r="A18" s="7">
        <v>45985.0</v>
      </c>
      <c r="B18" s="8">
        <v>6636.54</v>
      </c>
      <c r="C18" s="8">
        <v>6850.86</v>
      </c>
      <c r="D18" s="8">
        <v>6630.7</v>
      </c>
      <c r="E18" s="8">
        <v>6849.09</v>
      </c>
      <c r="F18" s="8">
        <v>6849.09</v>
      </c>
      <c r="G18" s="9">
        <v>1.808661E10</v>
      </c>
      <c r="J18" s="16">
        <v>45985.0</v>
      </c>
      <c r="K18" s="17">
        <v>87.63</v>
      </c>
      <c r="L18" s="17">
        <v>91.7</v>
      </c>
      <c r="M18" s="17">
        <v>84.52</v>
      </c>
      <c r="N18" s="17">
        <v>90.62</v>
      </c>
      <c r="O18" s="17">
        <v>89.71</v>
      </c>
      <c r="P18" s="18">
        <v>2.7734E7</v>
      </c>
      <c r="S18" s="16">
        <v>45985.0</v>
      </c>
      <c r="T18" s="17">
        <v>105.36</v>
      </c>
      <c r="U18" s="17">
        <v>110.7</v>
      </c>
      <c r="V18" s="17">
        <v>103.76</v>
      </c>
      <c r="W18" s="17">
        <v>110.51</v>
      </c>
      <c r="X18" s="17">
        <v>110.29</v>
      </c>
      <c r="Y18" s="18">
        <v>9.03619E7</v>
      </c>
    </row>
    <row r="19">
      <c r="A19" s="13">
        <v>45978.0</v>
      </c>
      <c r="B19" s="14">
        <v>6713.61</v>
      </c>
      <c r="C19" s="14">
        <v>6770.35</v>
      </c>
      <c r="D19" s="14">
        <v>6521.92</v>
      </c>
      <c r="E19" s="14">
        <v>6602.99</v>
      </c>
      <c r="F19" s="14">
        <v>6602.99</v>
      </c>
      <c r="G19" s="15">
        <v>2.691123E10</v>
      </c>
      <c r="J19" s="10">
        <v>45978.0</v>
      </c>
      <c r="K19" s="11">
        <v>89.52</v>
      </c>
      <c r="L19" s="11">
        <v>90.26</v>
      </c>
      <c r="M19" s="11">
        <v>83.44</v>
      </c>
      <c r="N19" s="11">
        <v>87.62</v>
      </c>
      <c r="O19" s="11">
        <v>86.74</v>
      </c>
      <c r="P19" s="12">
        <v>6.12105E7</v>
      </c>
      <c r="S19" s="10">
        <v>45978.0</v>
      </c>
      <c r="T19" s="11">
        <v>102.58</v>
      </c>
      <c r="U19" s="11">
        <v>108.15</v>
      </c>
      <c r="V19" s="11">
        <v>99.68</v>
      </c>
      <c r="W19" s="11">
        <v>105.32</v>
      </c>
      <c r="X19" s="11">
        <v>105.11</v>
      </c>
      <c r="Y19" s="12">
        <v>1.468476E8</v>
      </c>
    </row>
    <row r="20">
      <c r="A20" s="7">
        <v>45971.0</v>
      </c>
      <c r="B20" s="8">
        <v>6785.36</v>
      </c>
      <c r="C20" s="8">
        <v>6869.91</v>
      </c>
      <c r="D20" s="8">
        <v>6646.87</v>
      </c>
      <c r="E20" s="8">
        <v>6734.11</v>
      </c>
      <c r="F20" s="8">
        <v>6734.11</v>
      </c>
      <c r="G20" s="9">
        <v>2.615953E10</v>
      </c>
      <c r="J20" s="10">
        <v>45971.0</v>
      </c>
      <c r="K20" s="11">
        <v>91.82</v>
      </c>
      <c r="L20" s="11">
        <v>93.43</v>
      </c>
      <c r="M20" s="11">
        <v>89.41</v>
      </c>
      <c r="N20" s="11">
        <v>89.9</v>
      </c>
      <c r="O20" s="11">
        <v>87.89</v>
      </c>
      <c r="P20" s="12">
        <v>2.89756E7</v>
      </c>
      <c r="S20" s="16">
        <v>45971.0</v>
      </c>
      <c r="T20" s="17">
        <v>102.15</v>
      </c>
      <c r="U20" s="17">
        <v>103.93</v>
      </c>
      <c r="V20" s="17">
        <v>98.88</v>
      </c>
      <c r="W20" s="17">
        <v>102.48</v>
      </c>
      <c r="X20" s="17">
        <v>102.27</v>
      </c>
      <c r="Y20" s="18">
        <v>8.12868E7</v>
      </c>
    </row>
    <row r="21">
      <c r="A21" s="13">
        <v>45964.0</v>
      </c>
      <c r="B21" s="14">
        <v>6882.32</v>
      </c>
      <c r="C21" s="14">
        <v>6882.32</v>
      </c>
      <c r="D21" s="14">
        <v>6631.44</v>
      </c>
      <c r="E21" s="14">
        <v>6728.8</v>
      </c>
      <c r="F21" s="14">
        <v>6728.8</v>
      </c>
      <c r="G21" s="15">
        <v>2.97228E10</v>
      </c>
      <c r="J21" s="16">
        <v>45964.0</v>
      </c>
      <c r="K21" s="17">
        <v>92.61</v>
      </c>
      <c r="L21" s="17">
        <v>93.26</v>
      </c>
      <c r="M21" s="17">
        <v>88.48</v>
      </c>
      <c r="N21" s="17">
        <v>91.24</v>
      </c>
      <c r="O21" s="17">
        <v>89.2</v>
      </c>
      <c r="P21" s="18">
        <v>3.25472E7</v>
      </c>
      <c r="S21" s="10">
        <v>45964.0</v>
      </c>
      <c r="T21" s="11">
        <v>100.82</v>
      </c>
      <c r="U21" s="11">
        <v>102.97</v>
      </c>
      <c r="V21" s="11">
        <v>100.03</v>
      </c>
      <c r="W21" s="11">
        <v>102.59</v>
      </c>
      <c r="X21" s="11">
        <v>102.38</v>
      </c>
      <c r="Y21" s="12">
        <v>7.29196E7</v>
      </c>
    </row>
    <row r="22">
      <c r="A22" s="7">
        <v>45957.0</v>
      </c>
      <c r="B22" s="8">
        <v>6845.46</v>
      </c>
      <c r="C22" s="8">
        <v>6920.34</v>
      </c>
      <c r="D22" s="19">
        <v>6814.26</v>
      </c>
      <c r="E22" s="8">
        <v>6840.2</v>
      </c>
      <c r="F22" s="8">
        <v>6840.2</v>
      </c>
      <c r="G22" s="9">
        <v>2.971769E10</v>
      </c>
      <c r="J22" s="10">
        <v>45957.0</v>
      </c>
      <c r="K22" s="11">
        <v>95.25</v>
      </c>
      <c r="L22" s="11">
        <v>99.49</v>
      </c>
      <c r="M22" s="11">
        <v>91.51</v>
      </c>
      <c r="N22" s="11">
        <v>92.72</v>
      </c>
      <c r="O22" s="11">
        <v>90.64</v>
      </c>
      <c r="P22" s="12">
        <v>3.68012E7</v>
      </c>
      <c r="S22" s="16">
        <v>45957.0</v>
      </c>
      <c r="T22" s="17">
        <v>106.34</v>
      </c>
      <c r="U22" s="17">
        <v>106.36</v>
      </c>
      <c r="V22" s="17">
        <v>100.18</v>
      </c>
      <c r="W22" s="17">
        <v>101.18</v>
      </c>
      <c r="X22" s="17">
        <v>100.97</v>
      </c>
      <c r="Y22" s="18">
        <v>7.59874E7</v>
      </c>
    </row>
    <row r="23">
      <c r="A23" s="13">
        <v>45950.0</v>
      </c>
      <c r="B23" s="14">
        <v>6690.05</v>
      </c>
      <c r="C23" s="14">
        <v>6807.11</v>
      </c>
      <c r="D23" s="14">
        <v>6655.69</v>
      </c>
      <c r="E23" s="14">
        <v>6791.69</v>
      </c>
      <c r="F23" s="14">
        <v>6791.69</v>
      </c>
      <c r="G23" s="15">
        <v>2.625117E10</v>
      </c>
      <c r="J23" s="16">
        <v>45950.0</v>
      </c>
      <c r="K23" s="17">
        <v>91.08</v>
      </c>
      <c r="L23" s="17">
        <v>95.61</v>
      </c>
      <c r="M23" s="17">
        <v>91.0</v>
      </c>
      <c r="N23" s="17">
        <v>94.26</v>
      </c>
      <c r="O23" s="17">
        <v>92.15</v>
      </c>
      <c r="P23" s="18">
        <v>2.79218E7</v>
      </c>
      <c r="S23" s="10">
        <v>45950.0</v>
      </c>
      <c r="T23" s="11">
        <v>107.85</v>
      </c>
      <c r="U23" s="11">
        <v>108.25</v>
      </c>
      <c r="V23" s="11">
        <v>105.51</v>
      </c>
      <c r="W23" s="11">
        <v>106.17</v>
      </c>
      <c r="X23" s="11">
        <v>105.95</v>
      </c>
      <c r="Y23" s="12">
        <v>5.55036E7</v>
      </c>
    </row>
    <row r="24">
      <c r="A24" s="7">
        <v>45943.0</v>
      </c>
      <c r="B24" s="8">
        <v>6622.53</v>
      </c>
      <c r="C24" s="8">
        <v>6724.12</v>
      </c>
      <c r="D24" s="8">
        <v>6555.07</v>
      </c>
      <c r="E24" s="8">
        <v>6664.01</v>
      </c>
      <c r="F24" s="8">
        <v>6664.01</v>
      </c>
      <c r="G24" s="9">
        <v>2.801024E10</v>
      </c>
      <c r="J24" s="10">
        <v>45943.0</v>
      </c>
      <c r="K24" s="11">
        <v>86.92</v>
      </c>
      <c r="L24" s="11">
        <v>91.65</v>
      </c>
      <c r="M24" s="11">
        <v>86.35</v>
      </c>
      <c r="N24" s="11">
        <v>90.84</v>
      </c>
      <c r="O24" s="11">
        <v>88.81</v>
      </c>
      <c r="P24" s="12">
        <v>3.52882E7</v>
      </c>
      <c r="S24" s="16">
        <v>45943.0</v>
      </c>
      <c r="T24" s="17">
        <v>101.37</v>
      </c>
      <c r="U24" s="17">
        <v>109.58</v>
      </c>
      <c r="V24" s="17">
        <v>101.07</v>
      </c>
      <c r="W24" s="17">
        <v>107.73</v>
      </c>
      <c r="X24" s="17">
        <v>107.51</v>
      </c>
      <c r="Y24" s="18">
        <v>9.32488E7</v>
      </c>
    </row>
    <row r="25">
      <c r="A25" s="13">
        <v>45936.0</v>
      </c>
      <c r="B25" s="14">
        <v>6733.86</v>
      </c>
      <c r="C25" s="14">
        <v>6764.58</v>
      </c>
      <c r="D25" s="14">
        <v>6550.78</v>
      </c>
      <c r="E25" s="14">
        <v>6552.51</v>
      </c>
      <c r="F25" s="14">
        <v>6552.51</v>
      </c>
      <c r="G25" s="15">
        <v>2.851537E10</v>
      </c>
      <c r="J25" s="16">
        <v>45936.0</v>
      </c>
      <c r="K25" s="17">
        <v>89.34</v>
      </c>
      <c r="L25" s="17">
        <v>90.99</v>
      </c>
      <c r="M25" s="17">
        <v>85.36</v>
      </c>
      <c r="N25" s="17">
        <v>85.53</v>
      </c>
      <c r="O25" s="17">
        <v>83.61</v>
      </c>
      <c r="P25" s="18">
        <v>4.32867E7</v>
      </c>
      <c r="S25" s="10">
        <v>45936.0</v>
      </c>
      <c r="T25" s="11">
        <v>101.88</v>
      </c>
      <c r="U25" s="11">
        <v>103.63</v>
      </c>
      <c r="V25" s="11">
        <v>100.37</v>
      </c>
      <c r="W25" s="11">
        <v>101.84</v>
      </c>
      <c r="X25" s="11">
        <v>101.63</v>
      </c>
      <c r="Y25" s="12">
        <v>8.0454E7</v>
      </c>
    </row>
    <row r="26">
      <c r="A26" s="7">
        <v>45929.0</v>
      </c>
      <c r="B26" s="8">
        <v>6661.58</v>
      </c>
      <c r="C26" s="8">
        <v>6750.87</v>
      </c>
      <c r="D26" s="8">
        <v>6641.0</v>
      </c>
      <c r="E26" s="8">
        <v>6715.79</v>
      </c>
      <c r="F26" s="8">
        <v>6715.79</v>
      </c>
      <c r="G26" s="9">
        <v>2.858316E10</v>
      </c>
      <c r="J26" s="10">
        <v>45929.0</v>
      </c>
      <c r="K26" s="11">
        <v>88.36</v>
      </c>
      <c r="L26" s="11">
        <v>90.37</v>
      </c>
      <c r="M26" s="11">
        <v>87.26</v>
      </c>
      <c r="N26" s="11">
        <v>89.03</v>
      </c>
      <c r="O26" s="11">
        <v>87.04</v>
      </c>
      <c r="P26" s="12">
        <v>4.96358E7</v>
      </c>
      <c r="S26" s="16">
        <v>45929.0</v>
      </c>
      <c r="T26" s="17">
        <v>103.05</v>
      </c>
      <c r="U26" s="17">
        <v>103.94</v>
      </c>
      <c r="V26" s="17">
        <v>99.87</v>
      </c>
      <c r="W26" s="17">
        <v>102.07</v>
      </c>
      <c r="X26" s="17">
        <v>101.86</v>
      </c>
      <c r="Y26" s="18">
        <v>7.29663E7</v>
      </c>
    </row>
    <row r="27">
      <c r="A27" s="13">
        <v>45922.0</v>
      </c>
      <c r="B27" s="14">
        <v>6654.28</v>
      </c>
      <c r="C27" s="14">
        <v>6699.52</v>
      </c>
      <c r="D27" s="14">
        <v>6569.22</v>
      </c>
      <c r="E27" s="14">
        <v>6643.7</v>
      </c>
      <c r="F27" s="14">
        <v>6643.7</v>
      </c>
      <c r="G27" s="15">
        <v>2.77132E10</v>
      </c>
      <c r="J27" s="16">
        <v>45922.0</v>
      </c>
      <c r="K27" s="17">
        <v>88.02</v>
      </c>
      <c r="L27" s="17">
        <v>88.59</v>
      </c>
      <c r="M27" s="17">
        <v>86.3</v>
      </c>
      <c r="N27" s="17">
        <v>87.85</v>
      </c>
      <c r="O27" s="17">
        <v>85.88</v>
      </c>
      <c r="P27" s="18">
        <v>4.73609E7</v>
      </c>
      <c r="S27" s="10">
        <v>45922.0</v>
      </c>
      <c r="T27" s="11">
        <v>102.45</v>
      </c>
      <c r="U27" s="11">
        <v>103.51</v>
      </c>
      <c r="V27" s="11">
        <v>101.33</v>
      </c>
      <c r="W27" s="11">
        <v>103.16</v>
      </c>
      <c r="X27" s="11">
        <v>102.95</v>
      </c>
      <c r="Y27" s="12">
        <v>6.26384E7</v>
      </c>
    </row>
    <row r="28">
      <c r="A28" s="7">
        <v>45915.0</v>
      </c>
      <c r="B28" s="8">
        <v>6603.49</v>
      </c>
      <c r="C28" s="8">
        <v>6671.82</v>
      </c>
      <c r="D28" s="8">
        <v>6551.15</v>
      </c>
      <c r="E28" s="8">
        <v>6664.36</v>
      </c>
      <c r="F28" s="8">
        <v>6664.36</v>
      </c>
      <c r="G28" s="9">
        <v>3.062823E10</v>
      </c>
      <c r="J28" s="10">
        <v>45915.0</v>
      </c>
      <c r="K28" s="11">
        <v>90.1</v>
      </c>
      <c r="L28" s="11">
        <v>90.81</v>
      </c>
      <c r="M28" s="11">
        <v>87.81</v>
      </c>
      <c r="N28" s="11">
        <v>88.13</v>
      </c>
      <c r="O28" s="11">
        <v>86.16</v>
      </c>
      <c r="P28" s="12">
        <v>4.75472E7</v>
      </c>
      <c r="S28" s="16">
        <v>45915.0</v>
      </c>
      <c r="T28" s="17">
        <v>103.65</v>
      </c>
      <c r="U28" s="17">
        <v>106.11</v>
      </c>
      <c r="V28" s="17">
        <v>102.09</v>
      </c>
      <c r="W28" s="17">
        <v>102.33</v>
      </c>
      <c r="X28" s="17">
        <v>102.12</v>
      </c>
      <c r="Y28" s="18">
        <v>1.002818E8</v>
      </c>
    </row>
    <row r="29">
      <c r="A29" s="13">
        <v>45908.0</v>
      </c>
      <c r="B29" s="14">
        <v>6498.09</v>
      </c>
      <c r="C29" s="14">
        <v>6600.21</v>
      </c>
      <c r="D29" s="14">
        <v>6483.08</v>
      </c>
      <c r="E29" s="14">
        <v>6584.29</v>
      </c>
      <c r="F29" s="14">
        <v>6584.29</v>
      </c>
      <c r="G29" s="15">
        <v>2.533096E10</v>
      </c>
      <c r="J29" s="16">
        <v>45908.0</v>
      </c>
      <c r="K29" s="17">
        <v>93.21</v>
      </c>
      <c r="L29" s="17">
        <v>93.44</v>
      </c>
      <c r="M29" s="17">
        <v>89.96</v>
      </c>
      <c r="N29" s="17">
        <v>89.96</v>
      </c>
      <c r="O29" s="17">
        <v>87.95</v>
      </c>
      <c r="P29" s="18">
        <v>3.82431E7</v>
      </c>
      <c r="S29" s="10">
        <v>45908.0</v>
      </c>
      <c r="T29" s="11">
        <v>100.85</v>
      </c>
      <c r="U29" s="11">
        <v>103.98</v>
      </c>
      <c r="V29" s="11">
        <v>100.28</v>
      </c>
      <c r="W29" s="11">
        <v>103.49</v>
      </c>
      <c r="X29" s="11">
        <v>103.28</v>
      </c>
      <c r="Y29" s="12">
        <v>7.0983E7</v>
      </c>
    </row>
    <row r="30">
      <c r="A30" s="7">
        <v>45901.0</v>
      </c>
      <c r="B30" s="8">
        <v>6401.51</v>
      </c>
      <c r="C30" s="8">
        <v>6532.65</v>
      </c>
      <c r="D30" s="8">
        <v>6360.58</v>
      </c>
      <c r="E30" s="8">
        <v>6481.5</v>
      </c>
      <c r="F30" s="8">
        <v>6481.5</v>
      </c>
      <c r="G30" s="9">
        <v>1.898625E10</v>
      </c>
      <c r="J30" s="10">
        <v>45901.0</v>
      </c>
      <c r="K30" s="11">
        <v>95.13</v>
      </c>
      <c r="L30" s="11">
        <v>95.36</v>
      </c>
      <c r="M30" s="11">
        <v>91.69</v>
      </c>
      <c r="N30" s="11">
        <v>93.17</v>
      </c>
      <c r="O30" s="11">
        <v>91.08</v>
      </c>
      <c r="P30" s="12">
        <v>3.22686E7</v>
      </c>
      <c r="S30" s="16">
        <v>45901.0</v>
      </c>
      <c r="T30" s="17">
        <v>97.23</v>
      </c>
      <c r="U30" s="17">
        <v>101.48</v>
      </c>
      <c r="V30" s="17">
        <v>96.51</v>
      </c>
      <c r="W30" s="17">
        <v>100.51</v>
      </c>
      <c r="X30" s="17">
        <v>100.31</v>
      </c>
      <c r="Y30" s="18">
        <v>6.37366E7</v>
      </c>
    </row>
    <row r="31">
      <c r="A31" s="13">
        <v>45894.0</v>
      </c>
      <c r="B31" s="14">
        <v>6457.67</v>
      </c>
      <c r="C31" s="14">
        <v>6508.23</v>
      </c>
      <c r="D31" s="14">
        <v>6429.21</v>
      </c>
      <c r="E31" s="14">
        <v>6460.26</v>
      </c>
      <c r="F31" s="14">
        <v>6460.26</v>
      </c>
      <c r="G31" s="15">
        <v>2.158903E10</v>
      </c>
      <c r="J31" s="16">
        <v>45894.0</v>
      </c>
      <c r="K31" s="17">
        <v>98.5</v>
      </c>
      <c r="L31" s="17">
        <v>98.84</v>
      </c>
      <c r="M31" s="17">
        <v>95.67</v>
      </c>
      <c r="N31" s="17">
        <v>95.98</v>
      </c>
      <c r="O31" s="17">
        <v>93.83</v>
      </c>
      <c r="P31" s="18">
        <v>3.1052E7</v>
      </c>
      <c r="S31" s="10">
        <v>45894.0</v>
      </c>
      <c r="T31" s="11">
        <v>97.0</v>
      </c>
      <c r="U31" s="11">
        <v>97.58</v>
      </c>
      <c r="V31" s="11">
        <v>95.42</v>
      </c>
      <c r="W31" s="11">
        <v>96.98</v>
      </c>
      <c r="X31" s="11">
        <v>96.78</v>
      </c>
      <c r="Y31" s="12">
        <v>8.89941E7</v>
      </c>
    </row>
    <row r="32">
      <c r="A32" s="7">
        <v>45887.0</v>
      </c>
      <c r="B32" s="8">
        <v>6445.02</v>
      </c>
      <c r="C32" s="8">
        <v>6478.89</v>
      </c>
      <c r="D32" s="8">
        <v>6343.86</v>
      </c>
      <c r="E32" s="8">
        <v>6466.91</v>
      </c>
      <c r="F32" s="8">
        <v>6466.91</v>
      </c>
      <c r="G32" s="9">
        <v>2.207054E10</v>
      </c>
      <c r="J32" s="10">
        <v>45887.0</v>
      </c>
      <c r="K32" s="11">
        <v>104.0</v>
      </c>
      <c r="L32" s="11">
        <v>107.27</v>
      </c>
      <c r="M32" s="11">
        <v>94.15</v>
      </c>
      <c r="N32" s="11">
        <v>99.24</v>
      </c>
      <c r="O32" s="11">
        <v>97.02</v>
      </c>
      <c r="P32" s="12">
        <v>7.39621E7</v>
      </c>
      <c r="S32" s="16">
        <v>45887.0</v>
      </c>
      <c r="T32" s="17">
        <v>100.0</v>
      </c>
      <c r="U32" s="17">
        <v>102.65</v>
      </c>
      <c r="V32" s="17">
        <v>96.76</v>
      </c>
      <c r="W32" s="17">
        <v>96.83</v>
      </c>
      <c r="X32" s="17">
        <v>96.63</v>
      </c>
      <c r="Y32" s="18">
        <v>1.318304E8</v>
      </c>
    </row>
    <row r="33">
      <c r="A33" s="13">
        <v>45880.0</v>
      </c>
      <c r="B33" s="14">
        <v>6389.67</v>
      </c>
      <c r="C33" s="14">
        <v>6481.34</v>
      </c>
      <c r="D33" s="14">
        <v>6364.06</v>
      </c>
      <c r="E33" s="14">
        <v>6449.8</v>
      </c>
      <c r="F33" s="14">
        <v>6449.8</v>
      </c>
      <c r="G33" s="15">
        <v>2.402076E10</v>
      </c>
      <c r="J33" s="10">
        <v>45880.0</v>
      </c>
      <c r="K33" s="11">
        <v>105.4</v>
      </c>
      <c r="L33" s="11">
        <v>107.82</v>
      </c>
      <c r="M33" s="11">
        <v>101.95</v>
      </c>
      <c r="N33" s="11">
        <v>103.02</v>
      </c>
      <c r="O33" s="11">
        <v>99.63</v>
      </c>
      <c r="P33" s="12">
        <v>3.02696E7</v>
      </c>
      <c r="S33" s="16">
        <v>45880.0</v>
      </c>
      <c r="T33" s="17">
        <v>103.9</v>
      </c>
      <c r="U33" s="17">
        <v>104.33</v>
      </c>
      <c r="V33" s="17">
        <v>99.54</v>
      </c>
      <c r="W33" s="17">
        <v>100.0</v>
      </c>
      <c r="X33" s="17">
        <v>99.56</v>
      </c>
      <c r="Y33" s="18">
        <v>7.46338E7</v>
      </c>
    </row>
    <row r="34">
      <c r="A34" s="7">
        <v>45873.0</v>
      </c>
      <c r="B34" s="8">
        <v>6271.71</v>
      </c>
      <c r="C34" s="8">
        <v>6395.16</v>
      </c>
      <c r="D34" s="8">
        <v>6271.71</v>
      </c>
      <c r="E34" s="8">
        <v>6389.45</v>
      </c>
      <c r="F34" s="8">
        <v>6389.45</v>
      </c>
      <c r="G34" s="9">
        <v>2.584455E10</v>
      </c>
      <c r="J34" s="16">
        <v>45873.0</v>
      </c>
      <c r="K34" s="17">
        <v>100.01</v>
      </c>
      <c r="L34" s="17">
        <v>106.93</v>
      </c>
      <c r="M34" s="17">
        <v>99.6</v>
      </c>
      <c r="N34" s="17">
        <v>105.4</v>
      </c>
      <c r="O34" s="17">
        <v>101.93</v>
      </c>
      <c r="P34" s="18">
        <v>2.43986E7</v>
      </c>
      <c r="S34" s="10">
        <v>45873.0</v>
      </c>
      <c r="T34" s="11">
        <v>98.2</v>
      </c>
      <c r="U34" s="11">
        <v>104.72</v>
      </c>
      <c r="V34" s="11">
        <v>98.2</v>
      </c>
      <c r="W34" s="11">
        <v>103.73</v>
      </c>
      <c r="X34" s="11">
        <v>103.28</v>
      </c>
      <c r="Y34" s="12">
        <v>8.56698E7</v>
      </c>
    </row>
    <row r="35">
      <c r="A35" s="13">
        <v>45866.0</v>
      </c>
      <c r="B35" s="14">
        <v>6397.69</v>
      </c>
      <c r="C35" s="14">
        <v>6427.02</v>
      </c>
      <c r="D35" s="14">
        <v>6212.69</v>
      </c>
      <c r="E35" s="14">
        <v>6238.01</v>
      </c>
      <c r="F35" s="14">
        <v>6238.01</v>
      </c>
      <c r="G35" s="15">
        <v>2.692104E10</v>
      </c>
      <c r="J35" s="10">
        <v>45866.0</v>
      </c>
      <c r="K35" s="11">
        <v>106.22</v>
      </c>
      <c r="L35" s="11">
        <v>106.8</v>
      </c>
      <c r="M35" s="11">
        <v>98.44</v>
      </c>
      <c r="N35" s="11">
        <v>99.77</v>
      </c>
      <c r="O35" s="11">
        <v>96.49</v>
      </c>
      <c r="P35" s="12">
        <v>2.46095E7</v>
      </c>
      <c r="S35" s="16">
        <v>45866.0</v>
      </c>
      <c r="T35" s="17">
        <v>97.28</v>
      </c>
      <c r="U35" s="17">
        <v>98.88</v>
      </c>
      <c r="V35" s="17">
        <v>97.08</v>
      </c>
      <c r="W35" s="17">
        <v>98.49</v>
      </c>
      <c r="X35" s="17">
        <v>98.06</v>
      </c>
      <c r="Y35" s="18">
        <v>7.25932E7</v>
      </c>
    </row>
    <row r="36">
      <c r="A36" s="7">
        <v>45859.0</v>
      </c>
      <c r="B36" s="8">
        <v>6304.74</v>
      </c>
      <c r="C36" s="8">
        <v>6395.82</v>
      </c>
      <c r="D36" s="8">
        <v>6281.71</v>
      </c>
      <c r="E36" s="8">
        <v>6388.64</v>
      </c>
      <c r="F36" s="8">
        <v>6388.64</v>
      </c>
      <c r="G36" s="9">
        <v>2.606883E10</v>
      </c>
      <c r="J36" s="16">
        <v>45859.0</v>
      </c>
      <c r="K36" s="17">
        <v>102.11</v>
      </c>
      <c r="L36" s="17">
        <v>108.9</v>
      </c>
      <c r="M36" s="17">
        <v>101.68</v>
      </c>
      <c r="N36" s="17">
        <v>106.05</v>
      </c>
      <c r="O36" s="17">
        <v>102.56</v>
      </c>
      <c r="P36" s="18">
        <v>2.57505E7</v>
      </c>
      <c r="S36" s="10">
        <v>45859.0</v>
      </c>
      <c r="T36" s="11">
        <v>95.26</v>
      </c>
      <c r="U36" s="11">
        <v>97.65</v>
      </c>
      <c r="V36" s="11">
        <v>95.1</v>
      </c>
      <c r="W36" s="11">
        <v>97.47</v>
      </c>
      <c r="X36" s="11">
        <v>97.05</v>
      </c>
      <c r="Y36" s="12">
        <v>6.00892E7</v>
      </c>
    </row>
    <row r="37">
      <c r="A37" s="13">
        <v>45852.0</v>
      </c>
      <c r="B37" s="14">
        <v>6255.15</v>
      </c>
      <c r="C37" s="14">
        <v>6315.61</v>
      </c>
      <c r="D37" s="14">
        <v>6201.59</v>
      </c>
      <c r="E37" s="14">
        <v>6296.79</v>
      </c>
      <c r="F37" s="14">
        <v>6296.79</v>
      </c>
      <c r="G37" s="15">
        <v>2.573037E10</v>
      </c>
      <c r="J37" s="10">
        <v>45852.0</v>
      </c>
      <c r="K37" s="11">
        <v>104.0</v>
      </c>
      <c r="L37" s="11">
        <v>105.5</v>
      </c>
      <c r="M37" s="11">
        <v>100.36</v>
      </c>
      <c r="N37" s="11">
        <v>103.46</v>
      </c>
      <c r="O37" s="11">
        <v>100.06</v>
      </c>
      <c r="P37" s="12">
        <v>2.34315E7</v>
      </c>
      <c r="S37" s="16">
        <v>45852.0</v>
      </c>
      <c r="T37" s="17">
        <v>94.51</v>
      </c>
      <c r="U37" s="17">
        <v>95.84</v>
      </c>
      <c r="V37" s="17">
        <v>94.38</v>
      </c>
      <c r="W37" s="17">
        <v>95.05</v>
      </c>
      <c r="X37" s="17">
        <v>94.64</v>
      </c>
      <c r="Y37" s="18">
        <v>6.12129E7</v>
      </c>
    </row>
    <row r="38">
      <c r="A38" s="7">
        <v>45845.0</v>
      </c>
      <c r="B38" s="8">
        <v>6259.04</v>
      </c>
      <c r="C38" s="8">
        <v>6290.22</v>
      </c>
      <c r="D38" s="8">
        <v>6201.0</v>
      </c>
      <c r="E38" s="8">
        <v>6259.75</v>
      </c>
      <c r="F38" s="8">
        <v>6259.75</v>
      </c>
      <c r="G38" s="9">
        <v>2.581267E10</v>
      </c>
      <c r="J38" s="16">
        <v>45845.0</v>
      </c>
      <c r="K38" s="17">
        <v>103.0</v>
      </c>
      <c r="L38" s="17">
        <v>106.37</v>
      </c>
      <c r="M38" s="17">
        <v>100.58</v>
      </c>
      <c r="N38" s="17">
        <v>104.24</v>
      </c>
      <c r="O38" s="17">
        <v>100.81</v>
      </c>
      <c r="P38" s="18">
        <v>2.50658E7</v>
      </c>
      <c r="S38" s="10">
        <v>45845.0</v>
      </c>
      <c r="T38" s="11">
        <v>98.23</v>
      </c>
      <c r="U38" s="11">
        <v>99.35</v>
      </c>
      <c r="V38" s="11">
        <v>94.23</v>
      </c>
      <c r="W38" s="11">
        <v>94.4</v>
      </c>
      <c r="X38" s="11">
        <v>93.99</v>
      </c>
      <c r="Y38" s="12">
        <v>7.69983E7</v>
      </c>
    </row>
    <row r="39">
      <c r="A39" s="13">
        <v>45838.0</v>
      </c>
      <c r="B39" s="14">
        <v>6193.36</v>
      </c>
      <c r="C39" s="14">
        <v>6284.65</v>
      </c>
      <c r="D39" s="14">
        <v>6174.97</v>
      </c>
      <c r="E39" s="14">
        <v>6279.35</v>
      </c>
      <c r="F39" s="14">
        <v>6279.35</v>
      </c>
      <c r="G39" s="15">
        <v>2.108203E10</v>
      </c>
      <c r="J39" s="10">
        <v>45838.0</v>
      </c>
      <c r="K39" s="11">
        <v>99.6</v>
      </c>
      <c r="L39" s="11">
        <v>105.97</v>
      </c>
      <c r="M39" s="11">
        <v>98.14</v>
      </c>
      <c r="N39" s="11">
        <v>104.06</v>
      </c>
      <c r="O39" s="11">
        <v>100.64</v>
      </c>
      <c r="P39" s="12">
        <v>2.4765E7</v>
      </c>
      <c r="S39" s="16">
        <v>45838.0</v>
      </c>
      <c r="T39" s="17">
        <v>97.23</v>
      </c>
      <c r="U39" s="17">
        <v>99.19</v>
      </c>
      <c r="V39" s="17">
        <v>96.31</v>
      </c>
      <c r="W39" s="17">
        <v>98.36</v>
      </c>
      <c r="X39" s="17">
        <v>97.93</v>
      </c>
      <c r="Y39" s="18">
        <v>5.3627E7</v>
      </c>
    </row>
    <row r="40">
      <c r="A40" s="7">
        <v>45831.0</v>
      </c>
      <c r="B40" s="8">
        <v>5969.67</v>
      </c>
      <c r="C40" s="8">
        <v>6187.68</v>
      </c>
      <c r="D40" s="8">
        <v>5943.23</v>
      </c>
      <c r="E40" s="8">
        <v>6173.07</v>
      </c>
      <c r="F40" s="8">
        <v>6173.07</v>
      </c>
      <c r="G40" s="9">
        <v>2.940929E10</v>
      </c>
      <c r="J40" s="16">
        <v>45831.0</v>
      </c>
      <c r="K40" s="17">
        <v>94.62</v>
      </c>
      <c r="L40" s="17">
        <v>100.26</v>
      </c>
      <c r="M40" s="17">
        <v>94.17</v>
      </c>
      <c r="N40" s="17">
        <v>99.23</v>
      </c>
      <c r="O40" s="17">
        <v>95.97</v>
      </c>
      <c r="P40" s="18">
        <v>2.9387E7</v>
      </c>
      <c r="S40" s="10">
        <v>45831.0</v>
      </c>
      <c r="T40" s="11">
        <v>95.92</v>
      </c>
      <c r="U40" s="11">
        <v>99.11</v>
      </c>
      <c r="V40" s="11">
        <v>95.67</v>
      </c>
      <c r="W40" s="11">
        <v>97.27</v>
      </c>
      <c r="X40" s="11">
        <v>96.85</v>
      </c>
      <c r="Y40" s="12">
        <v>1.047841E8</v>
      </c>
    </row>
    <row r="41">
      <c r="A41" s="13">
        <v>45824.0</v>
      </c>
      <c r="B41" s="14">
        <v>6004.0</v>
      </c>
      <c r="C41" s="14">
        <v>6050.83</v>
      </c>
      <c r="D41" s="14">
        <v>5952.56</v>
      </c>
      <c r="E41" s="14">
        <v>5967.84</v>
      </c>
      <c r="F41" s="14">
        <v>5967.84</v>
      </c>
      <c r="G41" s="15">
        <v>2.262538E10</v>
      </c>
      <c r="J41" s="10">
        <v>45824.0</v>
      </c>
      <c r="K41" s="11">
        <v>96.19</v>
      </c>
      <c r="L41" s="11">
        <v>97.53</v>
      </c>
      <c r="M41" s="11">
        <v>94.4</v>
      </c>
      <c r="N41" s="11">
        <v>95.54</v>
      </c>
      <c r="O41" s="11">
        <v>92.4</v>
      </c>
      <c r="P41" s="12">
        <v>3.06515E7</v>
      </c>
      <c r="S41" s="16">
        <v>45824.0</v>
      </c>
      <c r="T41" s="17">
        <v>94.75</v>
      </c>
      <c r="U41" s="17">
        <v>96.31</v>
      </c>
      <c r="V41" s="17">
        <v>93.62</v>
      </c>
      <c r="W41" s="17">
        <v>96.12</v>
      </c>
      <c r="X41" s="17">
        <v>95.7</v>
      </c>
      <c r="Y41" s="18">
        <v>6.17559E7</v>
      </c>
    </row>
    <row r="42">
      <c r="A42" s="7">
        <v>45817.0</v>
      </c>
      <c r="B42" s="8">
        <v>6004.63</v>
      </c>
      <c r="C42" s="8">
        <v>6059.4</v>
      </c>
      <c r="D42" s="8">
        <v>5963.21</v>
      </c>
      <c r="E42" s="8">
        <v>5976.97</v>
      </c>
      <c r="F42" s="8">
        <v>5976.97</v>
      </c>
      <c r="G42" s="9">
        <v>2.45652E10</v>
      </c>
      <c r="J42" s="16">
        <v>45817.0</v>
      </c>
      <c r="K42" s="17">
        <v>98.31</v>
      </c>
      <c r="L42" s="17">
        <v>102.37</v>
      </c>
      <c r="M42" s="17">
        <v>94.78</v>
      </c>
      <c r="N42" s="17">
        <v>95.37</v>
      </c>
      <c r="O42" s="17">
        <v>92.23</v>
      </c>
      <c r="P42" s="18">
        <v>3.5339E7</v>
      </c>
      <c r="S42" s="10">
        <v>45817.0</v>
      </c>
      <c r="T42" s="11">
        <v>97.4</v>
      </c>
      <c r="U42" s="11">
        <v>98.09</v>
      </c>
      <c r="V42" s="11">
        <v>93.43</v>
      </c>
      <c r="W42" s="11">
        <v>94.44</v>
      </c>
      <c r="X42" s="11">
        <v>94.03</v>
      </c>
      <c r="Y42" s="12">
        <v>8.37482E7</v>
      </c>
    </row>
    <row r="43">
      <c r="A43" s="13">
        <v>45810.0</v>
      </c>
      <c r="B43" s="14">
        <v>5896.68</v>
      </c>
      <c r="C43" s="14">
        <v>6016.87</v>
      </c>
      <c r="D43" s="14">
        <v>5861.43</v>
      </c>
      <c r="E43" s="14">
        <v>6000.36</v>
      </c>
      <c r="F43" s="14">
        <v>6000.36</v>
      </c>
      <c r="G43" s="15">
        <v>2.407353E10</v>
      </c>
      <c r="J43" s="10">
        <v>45810.0</v>
      </c>
      <c r="K43" s="11">
        <v>93.41</v>
      </c>
      <c r="L43" s="11">
        <v>97.36</v>
      </c>
      <c r="M43" s="11">
        <v>92.06</v>
      </c>
      <c r="N43" s="11">
        <v>97.32</v>
      </c>
      <c r="O43" s="11">
        <v>94.12</v>
      </c>
      <c r="P43" s="12">
        <v>2.9137E7</v>
      </c>
      <c r="S43" s="16">
        <v>45810.0</v>
      </c>
      <c r="T43" s="17">
        <v>98.84</v>
      </c>
      <c r="U43" s="17">
        <v>100.89</v>
      </c>
      <c r="V43" s="17">
        <v>96.97</v>
      </c>
      <c r="W43" s="17">
        <v>97.47</v>
      </c>
      <c r="X43" s="17">
        <v>97.05</v>
      </c>
      <c r="Y43" s="18">
        <v>7.51298E7</v>
      </c>
    </row>
    <row r="44">
      <c r="A44" s="7">
        <v>45803.0</v>
      </c>
      <c r="B44" s="8">
        <v>5854.07</v>
      </c>
      <c r="C44" s="8">
        <v>5943.13</v>
      </c>
      <c r="D44" s="8">
        <v>5843.66</v>
      </c>
      <c r="E44" s="8">
        <v>5911.69</v>
      </c>
      <c r="F44" s="8">
        <v>5911.69</v>
      </c>
      <c r="G44" s="9">
        <v>2.097972E10</v>
      </c>
      <c r="J44" s="16">
        <v>45803.0</v>
      </c>
      <c r="K44" s="17">
        <v>95.56</v>
      </c>
      <c r="L44" s="17">
        <v>97.77</v>
      </c>
      <c r="M44" s="17">
        <v>93.25</v>
      </c>
      <c r="N44" s="17">
        <v>94.01</v>
      </c>
      <c r="O44" s="17">
        <v>90.92</v>
      </c>
      <c r="P44" s="18">
        <v>2.58851E7</v>
      </c>
      <c r="S44" s="10">
        <v>45803.0</v>
      </c>
      <c r="T44" s="11">
        <v>97.3</v>
      </c>
      <c r="U44" s="11">
        <v>98.93</v>
      </c>
      <c r="V44" s="11">
        <v>96.58</v>
      </c>
      <c r="W44" s="11">
        <v>98.72</v>
      </c>
      <c r="X44" s="11">
        <v>98.29</v>
      </c>
      <c r="Y44" s="12">
        <v>7.27191E7</v>
      </c>
    </row>
    <row r="45">
      <c r="A45" s="13">
        <v>45796.0</v>
      </c>
      <c r="B45" s="14">
        <v>5902.88</v>
      </c>
      <c r="C45" s="14">
        <v>5968.61</v>
      </c>
      <c r="D45" s="14">
        <v>5767.41</v>
      </c>
      <c r="E45" s="14">
        <v>5802.82</v>
      </c>
      <c r="F45" s="14">
        <v>5802.82</v>
      </c>
      <c r="G45" s="15">
        <v>2.363498E10</v>
      </c>
      <c r="J45" s="10">
        <v>45796.0</v>
      </c>
      <c r="K45" s="11">
        <v>96.76</v>
      </c>
      <c r="L45" s="11">
        <v>99.33</v>
      </c>
      <c r="M45" s="11">
        <v>90.6</v>
      </c>
      <c r="N45" s="11">
        <v>94.29</v>
      </c>
      <c r="O45" s="11">
        <v>91.19</v>
      </c>
      <c r="P45" s="12">
        <v>6.44925E7</v>
      </c>
      <c r="S45" s="16">
        <v>45796.0</v>
      </c>
      <c r="T45" s="17">
        <v>96.65</v>
      </c>
      <c r="U45" s="17">
        <v>98.82</v>
      </c>
      <c r="V45" s="17">
        <v>95.0</v>
      </c>
      <c r="W45" s="17">
        <v>96.34</v>
      </c>
      <c r="X45" s="17">
        <v>95.92</v>
      </c>
      <c r="Y45" s="18">
        <v>7.87743E7</v>
      </c>
    </row>
    <row r="46">
      <c r="A46" s="7">
        <v>45789.0</v>
      </c>
      <c r="B46" s="8">
        <v>5807.2</v>
      </c>
      <c r="C46" s="8">
        <v>5958.62</v>
      </c>
      <c r="D46" s="8">
        <v>5786.08</v>
      </c>
      <c r="E46" s="8">
        <v>5958.38</v>
      </c>
      <c r="F46" s="8">
        <v>5958.38</v>
      </c>
      <c r="G46" s="9">
        <v>2.660646E10</v>
      </c>
      <c r="J46" s="10">
        <v>45789.0</v>
      </c>
      <c r="K46" s="11">
        <v>100.93</v>
      </c>
      <c r="L46" s="11">
        <v>103.0</v>
      </c>
      <c r="M46" s="11">
        <v>93.71</v>
      </c>
      <c r="N46" s="11">
        <v>98.58</v>
      </c>
      <c r="O46" s="11">
        <v>94.26</v>
      </c>
      <c r="P46" s="12">
        <v>4.24517E7</v>
      </c>
      <c r="S46" s="10">
        <v>45789.0</v>
      </c>
      <c r="T46" s="11">
        <v>97.67</v>
      </c>
      <c r="U46" s="11">
        <v>99.19</v>
      </c>
      <c r="V46" s="11">
        <v>91.89</v>
      </c>
      <c r="W46" s="11">
        <v>98.24</v>
      </c>
      <c r="X46" s="11">
        <v>97.81</v>
      </c>
      <c r="Y46" s="12">
        <v>1.49923E8</v>
      </c>
    </row>
    <row r="47">
      <c r="A47" s="13">
        <v>45782.0</v>
      </c>
      <c r="B47" s="14">
        <v>5655.32</v>
      </c>
      <c r="C47" s="14">
        <v>5720.1</v>
      </c>
      <c r="D47" s="14">
        <v>5578.64</v>
      </c>
      <c r="E47" s="14">
        <v>5659.91</v>
      </c>
      <c r="F47" s="14">
        <v>5659.91</v>
      </c>
      <c r="G47" s="15">
        <v>2.433545E10</v>
      </c>
      <c r="J47" s="16">
        <v>45782.0</v>
      </c>
      <c r="K47" s="17">
        <v>96.84</v>
      </c>
      <c r="L47" s="17">
        <v>98.38</v>
      </c>
      <c r="M47" s="17">
        <v>93.01</v>
      </c>
      <c r="N47" s="17">
        <v>96.4</v>
      </c>
      <c r="O47" s="17">
        <v>92.18</v>
      </c>
      <c r="P47" s="18">
        <v>2.78621E7</v>
      </c>
      <c r="S47" s="10">
        <v>45782.0</v>
      </c>
      <c r="T47" s="11">
        <v>98.94</v>
      </c>
      <c r="U47" s="11">
        <v>99.74</v>
      </c>
      <c r="V47" s="11">
        <v>96.29</v>
      </c>
      <c r="W47" s="11">
        <v>96.72</v>
      </c>
      <c r="X47" s="11">
        <v>96.07</v>
      </c>
      <c r="Y47" s="12">
        <v>6.25253E7</v>
      </c>
    </row>
    <row r="48">
      <c r="A48" s="20">
        <v>45775.0</v>
      </c>
      <c r="B48" s="21">
        <v>5529.22</v>
      </c>
      <c r="C48" s="21">
        <v>5700.7</v>
      </c>
      <c r="D48" s="21">
        <v>5433.24</v>
      </c>
      <c r="E48" s="21">
        <v>5686.67</v>
      </c>
      <c r="F48" s="21">
        <v>5686.67</v>
      </c>
      <c r="G48" s="22">
        <v>2.424417E10</v>
      </c>
      <c r="J48" s="10">
        <v>45775.0</v>
      </c>
      <c r="K48" s="11">
        <v>96.49</v>
      </c>
      <c r="L48" s="11">
        <v>98.51</v>
      </c>
      <c r="M48" s="11">
        <v>94.23</v>
      </c>
      <c r="N48" s="11">
        <v>97.37</v>
      </c>
      <c r="O48" s="11">
        <v>93.1</v>
      </c>
      <c r="P48" s="12">
        <v>2.74247E7</v>
      </c>
      <c r="S48" s="16">
        <v>45775.0</v>
      </c>
      <c r="T48" s="17">
        <v>95.1</v>
      </c>
      <c r="U48" s="17">
        <v>99.22</v>
      </c>
      <c r="V48" s="17">
        <v>94.34</v>
      </c>
      <c r="W48" s="17">
        <v>98.75</v>
      </c>
      <c r="X48" s="17">
        <v>98.08</v>
      </c>
      <c r="Y48" s="18">
        <v>7.64721E7</v>
      </c>
    </row>
    <row r="49">
      <c r="A49" s="13">
        <v>45768.0</v>
      </c>
      <c r="B49" s="14">
        <v>5232.94</v>
      </c>
      <c r="C49" s="14">
        <v>5528.11</v>
      </c>
      <c r="D49" s="14">
        <v>5101.63</v>
      </c>
      <c r="E49" s="14">
        <v>5525.21</v>
      </c>
      <c r="F49" s="14">
        <v>5525.21</v>
      </c>
      <c r="G49" s="15">
        <v>2.319897E10</v>
      </c>
      <c r="J49" s="16">
        <v>45768.0</v>
      </c>
      <c r="K49" s="17">
        <v>92.64</v>
      </c>
      <c r="L49" s="17">
        <v>97.62</v>
      </c>
      <c r="M49" s="17">
        <v>90.85</v>
      </c>
      <c r="N49" s="17">
        <v>96.58</v>
      </c>
      <c r="O49" s="17">
        <v>92.35</v>
      </c>
      <c r="P49" s="18">
        <v>3.61642E7</v>
      </c>
      <c r="S49" s="10">
        <v>45768.0</v>
      </c>
      <c r="T49" s="11">
        <v>93.02</v>
      </c>
      <c r="U49" s="11">
        <v>96.6</v>
      </c>
      <c r="V49" s="11">
        <v>91.34</v>
      </c>
      <c r="W49" s="11">
        <v>95.09</v>
      </c>
      <c r="X49" s="11">
        <v>94.45</v>
      </c>
      <c r="Y49" s="12">
        <v>8.05776E7</v>
      </c>
    </row>
    <row r="50">
      <c r="A50" s="7">
        <v>45761.0</v>
      </c>
      <c r="B50" s="8">
        <v>5441.96</v>
      </c>
      <c r="C50" s="8">
        <v>5459.46</v>
      </c>
      <c r="D50" s="8">
        <v>5220.79</v>
      </c>
      <c r="E50" s="8">
        <v>5282.7</v>
      </c>
      <c r="F50" s="8">
        <v>5282.7</v>
      </c>
      <c r="G50" s="9">
        <v>1.867118E10</v>
      </c>
      <c r="J50" s="10">
        <v>45761.0</v>
      </c>
      <c r="K50" s="11">
        <v>94.42</v>
      </c>
      <c r="L50" s="11">
        <v>95.41</v>
      </c>
      <c r="M50" s="11">
        <v>89.53</v>
      </c>
      <c r="N50" s="11">
        <v>93.11</v>
      </c>
      <c r="O50" s="11">
        <v>89.03</v>
      </c>
      <c r="P50" s="12">
        <v>2.81682E7</v>
      </c>
      <c r="S50" s="16">
        <v>45761.0</v>
      </c>
      <c r="T50" s="17">
        <v>93.27</v>
      </c>
      <c r="U50" s="17">
        <v>96.03</v>
      </c>
      <c r="V50" s="17">
        <v>90.61</v>
      </c>
      <c r="W50" s="17">
        <v>93.22</v>
      </c>
      <c r="X50" s="17">
        <v>92.59</v>
      </c>
      <c r="Y50" s="18">
        <v>9.32371E7</v>
      </c>
    </row>
    <row r="51">
      <c r="A51" s="13">
        <v>45754.0</v>
      </c>
      <c r="B51" s="14">
        <v>4953.79</v>
      </c>
      <c r="C51" s="14">
        <v>5481.34</v>
      </c>
      <c r="D51" s="14">
        <v>4835.04</v>
      </c>
      <c r="E51" s="14">
        <v>5363.36</v>
      </c>
      <c r="F51" s="14">
        <v>5363.36</v>
      </c>
      <c r="G51" s="15">
        <v>3.786941E10</v>
      </c>
      <c r="J51" s="16">
        <v>45754.0</v>
      </c>
      <c r="K51" s="17">
        <v>91.27</v>
      </c>
      <c r="L51" s="17">
        <v>98.48</v>
      </c>
      <c r="M51" s="17">
        <v>87.35</v>
      </c>
      <c r="N51" s="17">
        <v>92.78</v>
      </c>
      <c r="O51" s="17">
        <v>88.72</v>
      </c>
      <c r="P51" s="18">
        <v>6.35728E7</v>
      </c>
      <c r="S51" s="10">
        <v>45754.0</v>
      </c>
      <c r="T51" s="11">
        <v>80.24</v>
      </c>
      <c r="U51" s="11">
        <v>93.35</v>
      </c>
      <c r="V51" s="11">
        <v>79.81</v>
      </c>
      <c r="W51" s="11">
        <v>92.8</v>
      </c>
      <c r="X51" s="11">
        <v>92.17</v>
      </c>
      <c r="Y51" s="12">
        <v>1.781128E8</v>
      </c>
    </row>
    <row r="52">
      <c r="A52" s="7">
        <v>45747.0</v>
      </c>
      <c r="B52" s="8">
        <v>5527.91</v>
      </c>
      <c r="C52" s="8">
        <v>5695.31</v>
      </c>
      <c r="D52" s="8">
        <v>5069.9</v>
      </c>
      <c r="E52" s="8">
        <v>5074.08</v>
      </c>
      <c r="F52" s="8">
        <v>5074.08</v>
      </c>
      <c r="G52" s="9">
        <v>2.999955E10</v>
      </c>
      <c r="J52" s="10">
        <v>45747.0</v>
      </c>
      <c r="K52" s="11">
        <v>102.0</v>
      </c>
      <c r="L52" s="11">
        <v>107.09</v>
      </c>
      <c r="M52" s="11">
        <v>90.62</v>
      </c>
      <c r="N52" s="11">
        <v>95.72</v>
      </c>
      <c r="O52" s="11">
        <v>91.53</v>
      </c>
      <c r="P52" s="12">
        <v>5.42142E7</v>
      </c>
      <c r="S52" s="16">
        <v>45747.0</v>
      </c>
      <c r="T52" s="17">
        <v>84.76</v>
      </c>
      <c r="U52" s="17">
        <v>90.15</v>
      </c>
      <c r="V52" s="17">
        <v>82.65</v>
      </c>
      <c r="W52" s="17">
        <v>83.19</v>
      </c>
      <c r="X52" s="17">
        <v>82.63</v>
      </c>
      <c r="Y52" s="18">
        <v>1.409556E8</v>
      </c>
    </row>
    <row r="53">
      <c r="A53" s="13">
        <v>45740.0</v>
      </c>
      <c r="B53" s="14">
        <v>5718.08</v>
      </c>
      <c r="C53" s="14">
        <v>5786.95</v>
      </c>
      <c r="D53" s="14">
        <v>5572.42</v>
      </c>
      <c r="E53" s="14">
        <v>5580.94</v>
      </c>
      <c r="F53" s="14">
        <v>5580.94</v>
      </c>
      <c r="G53" s="15">
        <v>2.208526E10</v>
      </c>
      <c r="J53" s="16">
        <v>45740.0</v>
      </c>
      <c r="K53" s="17">
        <v>104.99</v>
      </c>
      <c r="L53" s="17">
        <v>108.76</v>
      </c>
      <c r="M53" s="17">
        <v>102.37</v>
      </c>
      <c r="N53" s="17">
        <v>103.65</v>
      </c>
      <c r="O53" s="17">
        <v>99.11</v>
      </c>
      <c r="P53" s="18">
        <v>3.55743E7</v>
      </c>
      <c r="S53" s="10">
        <v>45740.0</v>
      </c>
      <c r="T53" s="11">
        <v>86.47</v>
      </c>
      <c r="U53" s="11">
        <v>87.65</v>
      </c>
      <c r="V53" s="11">
        <v>84.57</v>
      </c>
      <c r="W53" s="11">
        <v>85.15</v>
      </c>
      <c r="X53" s="11">
        <v>84.57</v>
      </c>
      <c r="Y53" s="12">
        <v>1.046115E8</v>
      </c>
    </row>
    <row r="54">
      <c r="A54" s="7">
        <v>45733.0</v>
      </c>
      <c r="B54" s="8">
        <v>5635.6</v>
      </c>
      <c r="C54" s="8">
        <v>5715.33</v>
      </c>
      <c r="D54" s="8">
        <v>5597.76</v>
      </c>
      <c r="E54" s="8">
        <v>5667.56</v>
      </c>
      <c r="F54" s="8">
        <v>5667.56</v>
      </c>
      <c r="G54" s="9">
        <v>2.840401E10</v>
      </c>
      <c r="J54" s="10">
        <v>45733.0</v>
      </c>
      <c r="K54" s="11">
        <v>105.66</v>
      </c>
      <c r="L54" s="11">
        <v>106.96</v>
      </c>
      <c r="M54" s="11">
        <v>101.76</v>
      </c>
      <c r="N54" s="11">
        <v>104.06</v>
      </c>
      <c r="O54" s="11">
        <v>99.5</v>
      </c>
      <c r="P54" s="12">
        <v>5.36198E7</v>
      </c>
      <c r="S54" s="10">
        <v>45733.0</v>
      </c>
      <c r="T54" s="11">
        <v>85.13</v>
      </c>
      <c r="U54" s="11">
        <v>87.99</v>
      </c>
      <c r="V54" s="11">
        <v>84.78</v>
      </c>
      <c r="W54" s="11">
        <v>85.98</v>
      </c>
      <c r="X54" s="11">
        <v>85.16</v>
      </c>
      <c r="Y54" s="12">
        <v>1.136873E8</v>
      </c>
    </row>
    <row r="55">
      <c r="A55" s="13">
        <v>45726.0</v>
      </c>
      <c r="B55" s="14">
        <v>5705.37</v>
      </c>
      <c r="C55" s="14">
        <v>5705.37</v>
      </c>
      <c r="D55" s="14">
        <v>5504.65</v>
      </c>
      <c r="E55" s="14">
        <v>5638.94</v>
      </c>
      <c r="F55" s="14">
        <v>5638.94</v>
      </c>
      <c r="G55" s="15">
        <v>2.77326E10</v>
      </c>
      <c r="J55" s="16">
        <v>45726.0</v>
      </c>
      <c r="K55" s="17">
        <v>114.69</v>
      </c>
      <c r="L55" s="17">
        <v>115.63</v>
      </c>
      <c r="M55" s="17">
        <v>103.46</v>
      </c>
      <c r="N55" s="17">
        <v>104.7</v>
      </c>
      <c r="O55" s="17">
        <v>100.11</v>
      </c>
      <c r="P55" s="18">
        <v>4.41042E7</v>
      </c>
      <c r="S55" s="16">
        <v>45726.0</v>
      </c>
      <c r="T55" s="17">
        <v>89.76</v>
      </c>
      <c r="U55" s="17">
        <v>90.23</v>
      </c>
      <c r="V55" s="17">
        <v>83.87</v>
      </c>
      <c r="W55" s="17">
        <v>85.35</v>
      </c>
      <c r="X55" s="17">
        <v>84.54</v>
      </c>
      <c r="Y55" s="18">
        <v>1.641464E8</v>
      </c>
    </row>
    <row r="56">
      <c r="A56" s="23"/>
      <c r="J56" s="24"/>
      <c r="K56" s="25"/>
      <c r="L56" s="25"/>
      <c r="M56" s="25"/>
      <c r="N56" s="25"/>
      <c r="O56" s="25"/>
      <c r="P56" s="25"/>
      <c r="S56" s="24"/>
      <c r="T56" s="25"/>
      <c r="U56" s="25"/>
      <c r="V56" s="25"/>
      <c r="W56" s="25"/>
      <c r="X56" s="25"/>
      <c r="Y56" s="25"/>
    </row>
    <row r="57">
      <c r="A57" s="23"/>
      <c r="J57" s="4" t="s">
        <v>7</v>
      </c>
      <c r="K57" s="25"/>
      <c r="L57" s="25"/>
      <c r="M57" s="25"/>
      <c r="N57" s="25"/>
      <c r="O57" s="25"/>
      <c r="P57" s="25"/>
      <c r="S57" s="24"/>
      <c r="T57" s="25"/>
      <c r="U57" s="25"/>
      <c r="V57" s="25"/>
      <c r="W57" s="25"/>
      <c r="X57" s="25"/>
      <c r="Y57" s="25"/>
    </row>
    <row r="58">
      <c r="A58" s="26" t="s">
        <v>8</v>
      </c>
      <c r="J58" s="27" t="s">
        <v>9</v>
      </c>
      <c r="K58" s="25"/>
      <c r="L58" s="25"/>
      <c r="M58" s="25"/>
      <c r="N58" s="25"/>
      <c r="O58" s="25"/>
      <c r="P58" s="25"/>
      <c r="S58" s="24"/>
      <c r="T58" s="25"/>
      <c r="U58" s="25"/>
      <c r="V58" s="25"/>
      <c r="W58" s="25"/>
      <c r="X58" s="25"/>
      <c r="Y58" s="25"/>
    </row>
    <row r="59">
      <c r="A59" s="28" t="s">
        <v>10</v>
      </c>
      <c r="J59" s="29" t="s">
        <v>11</v>
      </c>
      <c r="K59" s="25"/>
      <c r="L59" s="25"/>
      <c r="M59" s="25"/>
      <c r="N59" s="25"/>
      <c r="O59" s="25"/>
      <c r="P59" s="25"/>
      <c r="S59" s="4" t="s">
        <v>12</v>
      </c>
      <c r="T59" s="25"/>
      <c r="U59" s="25"/>
      <c r="V59" s="25"/>
      <c r="W59" s="25"/>
      <c r="X59" s="25"/>
      <c r="Y59" s="25"/>
    </row>
    <row r="60">
      <c r="A60" s="30" t="s">
        <v>13</v>
      </c>
      <c r="J60" s="31" t="s">
        <v>14</v>
      </c>
      <c r="K60" s="25"/>
      <c r="L60" s="25"/>
      <c r="M60" s="25"/>
      <c r="N60" s="25"/>
      <c r="O60" s="25"/>
      <c r="P60" s="25"/>
      <c r="S60" s="27" t="s">
        <v>15</v>
      </c>
      <c r="T60" s="25"/>
      <c r="U60" s="25"/>
      <c r="V60" s="25"/>
      <c r="W60" s="25"/>
      <c r="X60" s="25"/>
      <c r="Y60" s="25"/>
    </row>
    <row r="61">
      <c r="A61" s="32" t="s">
        <v>16</v>
      </c>
      <c r="J61" s="29" t="s">
        <v>17</v>
      </c>
      <c r="K61" s="25"/>
      <c r="L61" s="25"/>
      <c r="M61" s="25"/>
      <c r="N61" s="25"/>
      <c r="O61" s="25"/>
      <c r="P61" s="25"/>
      <c r="S61" s="29" t="s">
        <v>18</v>
      </c>
      <c r="T61" s="25"/>
      <c r="U61" s="25"/>
      <c r="V61" s="25"/>
      <c r="W61" s="25"/>
      <c r="X61" s="25"/>
      <c r="Y61" s="25"/>
    </row>
    <row r="62">
      <c r="A62" s="23"/>
      <c r="J62" s="33" t="s">
        <v>19</v>
      </c>
      <c r="K62" s="25"/>
      <c r="L62" s="25"/>
      <c r="M62" s="25"/>
      <c r="N62" s="25"/>
      <c r="O62" s="25"/>
      <c r="P62" s="25"/>
      <c r="S62" s="31" t="s">
        <v>20</v>
      </c>
      <c r="T62" s="25"/>
      <c r="U62" s="25"/>
      <c r="V62" s="25"/>
      <c r="W62" s="25"/>
      <c r="X62" s="25"/>
      <c r="Y62" s="25"/>
    </row>
    <row r="63">
      <c r="A63" s="23"/>
      <c r="J63" s="24"/>
      <c r="K63" s="25"/>
      <c r="L63" s="25"/>
      <c r="M63" s="25"/>
      <c r="N63" s="25"/>
      <c r="O63" s="25"/>
      <c r="P63" s="25"/>
      <c r="S63" s="34" t="s">
        <v>21</v>
      </c>
      <c r="T63" s="25"/>
      <c r="U63" s="25"/>
      <c r="V63" s="25"/>
      <c r="W63" s="25"/>
      <c r="X63" s="25"/>
      <c r="Y63" s="25"/>
    </row>
    <row r="64">
      <c r="A64" s="23"/>
      <c r="J64" s="24"/>
      <c r="K64" s="25"/>
      <c r="L64" s="25"/>
      <c r="M64" s="25"/>
      <c r="N64" s="25"/>
      <c r="O64" s="25"/>
      <c r="P64" s="25"/>
      <c r="S64" s="23"/>
    </row>
    <row r="65">
      <c r="A65" s="23"/>
      <c r="J65" s="24"/>
      <c r="K65" s="25"/>
      <c r="L65" s="25"/>
      <c r="M65" s="25"/>
      <c r="N65" s="25"/>
      <c r="O65" s="25"/>
      <c r="P65" s="25"/>
      <c r="S65" s="23"/>
    </row>
    <row r="66">
      <c r="A66" s="1"/>
      <c r="B66" s="2"/>
      <c r="C66" s="2"/>
      <c r="D66" s="2"/>
      <c r="E66" s="2"/>
      <c r="F66" s="2"/>
      <c r="G66" s="2"/>
      <c r="J66" s="23"/>
      <c r="S66" s="23"/>
    </row>
    <row r="67">
      <c r="A67" s="23"/>
      <c r="J67" s="23"/>
      <c r="S67" s="23"/>
    </row>
    <row r="68">
      <c r="A68" s="23"/>
      <c r="J68" s="23"/>
      <c r="S68" s="23"/>
    </row>
    <row r="69">
      <c r="A69" s="23"/>
      <c r="J69" s="23"/>
      <c r="S69" s="23"/>
    </row>
    <row r="70">
      <c r="A70" s="23"/>
      <c r="J70" s="23"/>
      <c r="S70" s="23"/>
    </row>
    <row r="71">
      <c r="A71" s="23"/>
      <c r="J71" s="23"/>
      <c r="S71" s="23"/>
    </row>
    <row r="72">
      <c r="A72" s="23"/>
      <c r="J72" s="23"/>
      <c r="S72" s="23"/>
    </row>
    <row r="73">
      <c r="A73" s="23"/>
      <c r="J73" s="23"/>
      <c r="S73" s="23"/>
    </row>
    <row r="74">
      <c r="A74" s="23"/>
      <c r="J74" s="23"/>
      <c r="S74" s="23"/>
    </row>
    <row r="75">
      <c r="A75" s="23"/>
      <c r="J75" s="23"/>
      <c r="S75" s="23"/>
    </row>
    <row r="76">
      <c r="A76" s="23"/>
      <c r="J76" s="23"/>
      <c r="S76" s="23"/>
    </row>
    <row r="77">
      <c r="A77" s="23"/>
      <c r="J77" s="23"/>
      <c r="S77" s="23"/>
    </row>
    <row r="78">
      <c r="A78" s="23"/>
      <c r="J78" s="23"/>
      <c r="S78" s="23"/>
    </row>
    <row r="79">
      <c r="A79" s="23"/>
      <c r="J79" s="23"/>
      <c r="S79" s="23"/>
    </row>
    <row r="80">
      <c r="A80" s="23"/>
      <c r="J80" s="23"/>
      <c r="S80" s="23"/>
    </row>
    <row r="81">
      <c r="A81" s="23"/>
      <c r="J81" s="23"/>
      <c r="S81" s="23"/>
    </row>
    <row r="82">
      <c r="A82" s="23"/>
      <c r="J82" s="23"/>
      <c r="S82" s="23"/>
    </row>
    <row r="83">
      <c r="A83" s="23"/>
      <c r="J83" s="23"/>
      <c r="S83" s="23"/>
    </row>
    <row r="84">
      <c r="A84" s="23"/>
      <c r="J84" s="23"/>
      <c r="S84" s="23"/>
    </row>
    <row r="85">
      <c r="A85" s="23"/>
      <c r="J85" s="23"/>
      <c r="S85" s="23"/>
    </row>
    <row r="86">
      <c r="A86" s="23"/>
      <c r="J86" s="23"/>
      <c r="S86" s="23"/>
    </row>
    <row r="87">
      <c r="A87" s="23"/>
      <c r="J87" s="23"/>
      <c r="S87" s="23"/>
    </row>
    <row r="88">
      <c r="A88" s="23"/>
      <c r="J88" s="23"/>
      <c r="S88" s="23"/>
    </row>
    <row r="89">
      <c r="A89" s="23"/>
      <c r="J89" s="23"/>
      <c r="S89" s="23"/>
    </row>
    <row r="90">
      <c r="A90" s="23"/>
      <c r="J90" s="23"/>
      <c r="S90" s="23"/>
    </row>
    <row r="91">
      <c r="A91" s="23"/>
      <c r="J91" s="23"/>
      <c r="S91" s="23"/>
    </row>
    <row r="92">
      <c r="A92" s="23"/>
      <c r="J92" s="23"/>
      <c r="S92" s="23"/>
    </row>
    <row r="93">
      <c r="A93" s="23"/>
      <c r="J93" s="23"/>
      <c r="S93" s="23"/>
    </row>
    <row r="94">
      <c r="A94" s="23"/>
      <c r="J94" s="23"/>
      <c r="S94" s="23"/>
    </row>
    <row r="95">
      <c r="A95" s="23"/>
      <c r="J95" s="23"/>
      <c r="S95" s="23"/>
    </row>
    <row r="96">
      <c r="A96" s="23"/>
      <c r="J96" s="23"/>
      <c r="S96" s="23"/>
    </row>
    <row r="97">
      <c r="A97" s="23"/>
      <c r="J97" s="23"/>
      <c r="S97" s="23"/>
    </row>
    <row r="98">
      <c r="A98" s="23"/>
      <c r="J98" s="23"/>
      <c r="S98" s="23"/>
    </row>
    <row r="99">
      <c r="A99" s="23"/>
      <c r="J99" s="23"/>
      <c r="S99" s="23"/>
    </row>
    <row r="100">
      <c r="A100" s="23"/>
      <c r="J100" s="23"/>
      <c r="S100" s="23"/>
    </row>
    <row r="101">
      <c r="A101" s="23"/>
      <c r="J101" s="23"/>
      <c r="S101" s="23"/>
    </row>
    <row r="102">
      <c r="A102" s="23"/>
      <c r="J102" s="23"/>
      <c r="S102" s="23"/>
    </row>
    <row r="103">
      <c r="A103" s="23"/>
      <c r="J103" s="23"/>
      <c r="S103" s="23"/>
    </row>
    <row r="104">
      <c r="A104" s="23"/>
      <c r="J104" s="23"/>
      <c r="S104" s="23"/>
    </row>
    <row r="105">
      <c r="A105" s="23"/>
      <c r="J105" s="23"/>
      <c r="S105" s="23"/>
    </row>
    <row r="106">
      <c r="A106" s="23"/>
      <c r="J106" s="23"/>
      <c r="S106" s="23"/>
    </row>
    <row r="107">
      <c r="A107" s="23"/>
      <c r="J107" s="23"/>
      <c r="S107" s="23"/>
    </row>
    <row r="108">
      <c r="A108" s="23"/>
      <c r="J108" s="23"/>
      <c r="S108" s="23"/>
    </row>
    <row r="109">
      <c r="A109" s="23"/>
      <c r="J109" s="23"/>
      <c r="S109" s="23"/>
    </row>
    <row r="110">
      <c r="A110" s="23"/>
      <c r="J110" s="23"/>
      <c r="S110" s="23"/>
    </row>
    <row r="111">
      <c r="A111" s="23"/>
      <c r="J111" s="23"/>
      <c r="S111" s="23"/>
    </row>
    <row r="112">
      <c r="A112" s="23"/>
      <c r="J112" s="23"/>
      <c r="S112" s="23"/>
    </row>
    <row r="113">
      <c r="A113" s="23"/>
      <c r="J113" s="23"/>
      <c r="S113" s="23"/>
    </row>
    <row r="114">
      <c r="A114" s="23"/>
      <c r="J114" s="23"/>
      <c r="S114" s="23"/>
    </row>
    <row r="115">
      <c r="A115" s="23"/>
      <c r="J115" s="23"/>
      <c r="S115" s="23"/>
    </row>
    <row r="116">
      <c r="A116" s="23"/>
      <c r="J116" s="23"/>
      <c r="S116" s="23"/>
    </row>
    <row r="117">
      <c r="A117" s="23"/>
      <c r="J117" s="23"/>
      <c r="S117" s="23"/>
    </row>
    <row r="118">
      <c r="A118" s="23"/>
      <c r="J118" s="23"/>
      <c r="S118" s="23"/>
    </row>
    <row r="119">
      <c r="A119" s="23"/>
      <c r="J119" s="23"/>
      <c r="S119" s="23"/>
    </row>
    <row r="120">
      <c r="A120" s="23"/>
      <c r="J120" s="23"/>
      <c r="S120" s="23"/>
    </row>
    <row r="121">
      <c r="A121" s="23"/>
      <c r="J121" s="23"/>
      <c r="S121" s="23"/>
    </row>
    <row r="122">
      <c r="A122" s="23"/>
      <c r="J122" s="23"/>
      <c r="S122" s="23"/>
    </row>
    <row r="123">
      <c r="A123" s="23"/>
      <c r="J123" s="23"/>
      <c r="S123" s="23"/>
    </row>
    <row r="124">
      <c r="A124" s="23"/>
      <c r="J124" s="23"/>
      <c r="S124" s="23"/>
    </row>
    <row r="125">
      <c r="A125" s="23"/>
      <c r="J125" s="23"/>
      <c r="S125" s="23"/>
    </row>
    <row r="126">
      <c r="A126" s="23"/>
      <c r="J126" s="23"/>
      <c r="S126" s="23"/>
    </row>
    <row r="127">
      <c r="A127" s="23"/>
      <c r="J127" s="23"/>
      <c r="S127" s="23"/>
    </row>
    <row r="128">
      <c r="A128" s="23"/>
      <c r="J128" s="23"/>
      <c r="S128" s="23"/>
    </row>
    <row r="129">
      <c r="A129" s="23"/>
      <c r="J129" s="23"/>
      <c r="S129" s="23"/>
    </row>
    <row r="130">
      <c r="A130" s="23"/>
      <c r="J130" s="23"/>
      <c r="S130" s="23"/>
    </row>
    <row r="131">
      <c r="A131" s="23"/>
      <c r="J131" s="23"/>
      <c r="S131" s="23"/>
    </row>
    <row r="132">
      <c r="A132" s="23"/>
      <c r="J132" s="23"/>
      <c r="S132" s="23"/>
    </row>
    <row r="133">
      <c r="A133" s="23"/>
      <c r="J133" s="23"/>
      <c r="S133" s="23"/>
    </row>
    <row r="134">
      <c r="A134" s="23"/>
      <c r="J134" s="23"/>
      <c r="S134" s="23"/>
    </row>
    <row r="135">
      <c r="A135" s="23"/>
      <c r="J135" s="23"/>
      <c r="S135" s="23"/>
    </row>
    <row r="136">
      <c r="A136" s="23"/>
      <c r="J136" s="23"/>
      <c r="S136" s="23"/>
    </row>
    <row r="137">
      <c r="A137" s="23"/>
      <c r="J137" s="23"/>
      <c r="S137" s="23"/>
    </row>
    <row r="138">
      <c r="A138" s="23"/>
      <c r="J138" s="23"/>
      <c r="S138" s="23"/>
    </row>
    <row r="139">
      <c r="A139" s="23"/>
      <c r="J139" s="23"/>
      <c r="S139" s="23"/>
    </row>
    <row r="140">
      <c r="A140" s="23"/>
      <c r="J140" s="23"/>
      <c r="S140" s="23"/>
    </row>
    <row r="141">
      <c r="A141" s="23"/>
      <c r="J141" s="23"/>
      <c r="S141" s="23"/>
    </row>
    <row r="142">
      <c r="A142" s="23"/>
      <c r="J142" s="23"/>
      <c r="S142" s="23"/>
    </row>
    <row r="143">
      <c r="A143" s="23"/>
      <c r="J143" s="23"/>
      <c r="S143" s="23"/>
    </row>
    <row r="144">
      <c r="A144" s="23"/>
      <c r="J144" s="23"/>
      <c r="S144" s="23"/>
    </row>
    <row r="145">
      <c r="A145" s="23"/>
      <c r="J145" s="23"/>
      <c r="S145" s="23"/>
    </row>
    <row r="146">
      <c r="A146" s="23"/>
      <c r="J146" s="23"/>
      <c r="S146" s="23"/>
    </row>
    <row r="147">
      <c r="A147" s="23"/>
      <c r="J147" s="23"/>
      <c r="S147" s="23"/>
    </row>
    <row r="148">
      <c r="A148" s="23"/>
      <c r="J148" s="23"/>
      <c r="S148" s="23"/>
    </row>
    <row r="149">
      <c r="A149" s="23"/>
      <c r="J149" s="23"/>
      <c r="S149" s="23"/>
    </row>
    <row r="150">
      <c r="A150" s="23"/>
      <c r="J150" s="23"/>
      <c r="S150" s="23"/>
    </row>
    <row r="151">
      <c r="A151" s="23"/>
      <c r="J151" s="23"/>
      <c r="S151" s="23"/>
    </row>
    <row r="152">
      <c r="A152" s="23"/>
      <c r="J152" s="23"/>
      <c r="S152" s="23"/>
    </row>
    <row r="153">
      <c r="A153" s="23"/>
      <c r="J153" s="23"/>
      <c r="S153" s="23"/>
    </row>
    <row r="154">
      <c r="A154" s="23"/>
      <c r="J154" s="23"/>
      <c r="S154" s="23"/>
    </row>
    <row r="155">
      <c r="A155" s="23"/>
      <c r="J155" s="23"/>
      <c r="S155" s="23"/>
    </row>
    <row r="156">
      <c r="A156" s="23"/>
      <c r="J156" s="23"/>
      <c r="S156" s="23"/>
    </row>
    <row r="157">
      <c r="A157" s="23"/>
      <c r="J157" s="23"/>
      <c r="S157" s="23"/>
    </row>
    <row r="158">
      <c r="A158" s="23"/>
      <c r="J158" s="23"/>
      <c r="S158" s="23"/>
    </row>
    <row r="159">
      <c r="A159" s="23"/>
      <c r="J159" s="23"/>
      <c r="S159" s="23"/>
    </row>
    <row r="160">
      <c r="A160" s="23"/>
      <c r="J160" s="23"/>
      <c r="S160" s="23"/>
    </row>
    <row r="161">
      <c r="A161" s="23"/>
      <c r="J161" s="23"/>
      <c r="S161" s="23"/>
    </row>
    <row r="162">
      <c r="A162" s="23"/>
      <c r="J162" s="23"/>
      <c r="S162" s="23"/>
    </row>
    <row r="163">
      <c r="A163" s="23"/>
      <c r="J163" s="23"/>
      <c r="S163" s="23"/>
    </row>
    <row r="164">
      <c r="A164" s="23"/>
      <c r="J164" s="23"/>
      <c r="S164" s="23"/>
    </row>
    <row r="165">
      <c r="A165" s="23"/>
      <c r="J165" s="23"/>
      <c r="S165" s="23"/>
    </row>
    <row r="166">
      <c r="A166" s="23"/>
      <c r="J166" s="23"/>
      <c r="S166" s="23"/>
    </row>
    <row r="167">
      <c r="A167" s="23"/>
      <c r="J167" s="23"/>
      <c r="S167" s="23"/>
    </row>
    <row r="168">
      <c r="A168" s="23"/>
      <c r="J168" s="23"/>
      <c r="S168" s="23"/>
    </row>
    <row r="169">
      <c r="A169" s="23"/>
      <c r="J169" s="23"/>
      <c r="S169" s="23"/>
    </row>
    <row r="170">
      <c r="A170" s="23"/>
      <c r="J170" s="23"/>
      <c r="S170" s="23"/>
    </row>
    <row r="171">
      <c r="A171" s="23"/>
      <c r="J171" s="23"/>
      <c r="S171" s="23"/>
    </row>
    <row r="172">
      <c r="A172" s="23"/>
      <c r="J172" s="23"/>
      <c r="S172" s="23"/>
    </row>
    <row r="173">
      <c r="A173" s="23"/>
      <c r="J173" s="23"/>
      <c r="S173" s="23"/>
    </row>
    <row r="174">
      <c r="A174" s="23"/>
      <c r="J174" s="23"/>
      <c r="S174" s="23"/>
    </row>
    <row r="175">
      <c r="A175" s="23"/>
      <c r="J175" s="23"/>
      <c r="S175" s="23"/>
    </row>
    <row r="176">
      <c r="A176" s="23"/>
      <c r="J176" s="23"/>
      <c r="S176" s="23"/>
    </row>
    <row r="177">
      <c r="A177" s="23"/>
      <c r="J177" s="23"/>
      <c r="S177" s="23"/>
    </row>
    <row r="178">
      <c r="A178" s="23"/>
      <c r="J178" s="23"/>
      <c r="S178" s="23"/>
    </row>
    <row r="179">
      <c r="A179" s="23"/>
      <c r="J179" s="23"/>
      <c r="S179" s="23"/>
    </row>
    <row r="180">
      <c r="A180" s="23"/>
      <c r="J180" s="23"/>
      <c r="S180" s="23"/>
    </row>
    <row r="181">
      <c r="A181" s="23"/>
      <c r="J181" s="23"/>
      <c r="S181" s="23"/>
    </row>
    <row r="182">
      <c r="A182" s="23"/>
      <c r="J182" s="23"/>
      <c r="S182" s="23"/>
    </row>
    <row r="183">
      <c r="A183" s="23"/>
      <c r="J183" s="23"/>
      <c r="S183" s="23"/>
    </row>
    <row r="184">
      <c r="A184" s="23"/>
      <c r="J184" s="23"/>
      <c r="S184" s="23"/>
    </row>
    <row r="185">
      <c r="A185" s="23"/>
      <c r="J185" s="23"/>
      <c r="S185" s="23"/>
    </row>
    <row r="186">
      <c r="A186" s="23"/>
      <c r="J186" s="23"/>
      <c r="S186" s="23"/>
    </row>
    <row r="187">
      <c r="A187" s="23"/>
      <c r="J187" s="23"/>
      <c r="S187" s="23"/>
    </row>
    <row r="188">
      <c r="A188" s="23"/>
      <c r="J188" s="23"/>
      <c r="S188" s="23"/>
    </row>
    <row r="189">
      <c r="A189" s="23"/>
      <c r="J189" s="23"/>
      <c r="S189" s="23"/>
    </row>
    <row r="190">
      <c r="A190" s="23"/>
      <c r="J190" s="23"/>
      <c r="S190" s="23"/>
    </row>
    <row r="191">
      <c r="A191" s="23"/>
      <c r="J191" s="23"/>
      <c r="S191" s="23"/>
    </row>
    <row r="192">
      <c r="A192" s="23"/>
      <c r="J192" s="23"/>
      <c r="S192" s="23"/>
    </row>
    <row r="193">
      <c r="A193" s="23"/>
      <c r="J193" s="23"/>
      <c r="S193" s="23"/>
    </row>
    <row r="194">
      <c r="A194" s="23"/>
      <c r="J194" s="23"/>
      <c r="S194" s="23"/>
    </row>
    <row r="195">
      <c r="A195" s="23"/>
      <c r="J195" s="23"/>
      <c r="S195" s="23"/>
    </row>
    <row r="196">
      <c r="A196" s="23"/>
      <c r="J196" s="23"/>
      <c r="S196" s="23"/>
    </row>
    <row r="197">
      <c r="A197" s="23"/>
      <c r="J197" s="23"/>
      <c r="S197" s="23"/>
    </row>
    <row r="198">
      <c r="A198" s="23"/>
      <c r="J198" s="23"/>
      <c r="S198" s="23"/>
    </row>
    <row r="199">
      <c r="A199" s="23"/>
      <c r="J199" s="23"/>
      <c r="S199" s="23"/>
    </row>
    <row r="200">
      <c r="A200" s="23"/>
      <c r="J200" s="23"/>
      <c r="S200" s="23"/>
    </row>
    <row r="201">
      <c r="A201" s="23"/>
      <c r="J201" s="23"/>
      <c r="S201" s="23"/>
    </row>
    <row r="202">
      <c r="A202" s="23"/>
      <c r="J202" s="23"/>
      <c r="S202" s="23"/>
    </row>
    <row r="203">
      <c r="A203" s="23"/>
      <c r="J203" s="23"/>
      <c r="S203" s="23"/>
    </row>
    <row r="204">
      <c r="A204" s="23"/>
      <c r="J204" s="23"/>
      <c r="S204" s="23"/>
    </row>
    <row r="205">
      <c r="A205" s="23"/>
      <c r="J205" s="23"/>
      <c r="S205" s="23"/>
    </row>
    <row r="206">
      <c r="A206" s="23"/>
      <c r="J206" s="23"/>
      <c r="S206" s="23"/>
    </row>
    <row r="207">
      <c r="A207" s="23"/>
      <c r="J207" s="23"/>
      <c r="S207" s="23"/>
    </row>
    <row r="208">
      <c r="A208" s="23"/>
      <c r="J208" s="23"/>
      <c r="S208" s="23"/>
    </row>
    <row r="209">
      <c r="A209" s="23"/>
      <c r="J209" s="23"/>
      <c r="S209" s="23"/>
    </row>
    <row r="210">
      <c r="A210" s="23"/>
      <c r="J210" s="23"/>
      <c r="S210" s="23"/>
    </row>
    <row r="211">
      <c r="A211" s="23"/>
      <c r="J211" s="23"/>
      <c r="S211" s="23"/>
    </row>
    <row r="212">
      <c r="A212" s="23"/>
      <c r="J212" s="23"/>
      <c r="S212" s="23"/>
    </row>
    <row r="213">
      <c r="A213" s="23"/>
      <c r="J213" s="23"/>
      <c r="S213" s="23"/>
    </row>
    <row r="214">
      <c r="A214" s="23"/>
      <c r="J214" s="23"/>
      <c r="S214" s="23"/>
    </row>
    <row r="215">
      <c r="A215" s="23"/>
      <c r="J215" s="23"/>
      <c r="S215" s="23"/>
    </row>
    <row r="216">
      <c r="A216" s="23"/>
      <c r="J216" s="23"/>
      <c r="S216" s="23"/>
    </row>
    <row r="217">
      <c r="A217" s="23"/>
      <c r="J217" s="23"/>
      <c r="S217" s="23"/>
    </row>
    <row r="218">
      <c r="A218" s="23"/>
      <c r="J218" s="23"/>
      <c r="S218" s="23"/>
    </row>
    <row r="219">
      <c r="A219" s="23"/>
      <c r="J219" s="23"/>
      <c r="S219" s="23"/>
    </row>
    <row r="220">
      <c r="A220" s="23"/>
      <c r="J220" s="23"/>
      <c r="S220" s="23"/>
    </row>
    <row r="221">
      <c r="A221" s="23"/>
      <c r="J221" s="23"/>
      <c r="S221" s="23"/>
    </row>
    <row r="222">
      <c r="A222" s="23"/>
      <c r="J222" s="23"/>
      <c r="S222" s="23"/>
    </row>
    <row r="223">
      <c r="A223" s="23"/>
      <c r="J223" s="23"/>
      <c r="S223" s="23"/>
    </row>
    <row r="224">
      <c r="A224" s="23"/>
      <c r="J224" s="23"/>
      <c r="S224" s="23"/>
    </row>
    <row r="225">
      <c r="A225" s="23"/>
      <c r="J225" s="23"/>
      <c r="S225" s="23"/>
    </row>
    <row r="226">
      <c r="A226" s="23"/>
      <c r="J226" s="23"/>
      <c r="S226" s="23"/>
    </row>
    <row r="227">
      <c r="A227" s="23"/>
      <c r="J227" s="23"/>
      <c r="S227" s="23"/>
    </row>
    <row r="228">
      <c r="A228" s="23"/>
      <c r="J228" s="23"/>
      <c r="S228" s="23"/>
    </row>
    <row r="229">
      <c r="A229" s="23"/>
      <c r="J229" s="23"/>
      <c r="S229" s="23"/>
    </row>
    <row r="230">
      <c r="A230" s="23"/>
      <c r="J230" s="23"/>
      <c r="S230" s="23"/>
    </row>
    <row r="231">
      <c r="A231" s="23"/>
      <c r="J231" s="23"/>
      <c r="S231" s="23"/>
    </row>
    <row r="232">
      <c r="A232" s="23"/>
      <c r="J232" s="23"/>
      <c r="S232" s="23"/>
    </row>
    <row r="233">
      <c r="A233" s="23"/>
      <c r="J233" s="23"/>
      <c r="S233" s="23"/>
    </row>
    <row r="234">
      <c r="A234" s="23"/>
      <c r="J234" s="23"/>
      <c r="S234" s="23"/>
    </row>
    <row r="235">
      <c r="A235" s="23"/>
      <c r="J235" s="23"/>
      <c r="S235" s="23"/>
    </row>
    <row r="236">
      <c r="A236" s="23"/>
      <c r="J236" s="23"/>
      <c r="S236" s="23"/>
    </row>
    <row r="237">
      <c r="A237" s="23"/>
      <c r="J237" s="23"/>
      <c r="S237" s="23"/>
    </row>
    <row r="238">
      <c r="A238" s="23"/>
      <c r="J238" s="23"/>
      <c r="S238" s="23"/>
    </row>
    <row r="239">
      <c r="A239" s="23"/>
      <c r="J239" s="23"/>
      <c r="S239" s="23"/>
    </row>
    <row r="240">
      <c r="A240" s="23"/>
      <c r="J240" s="23"/>
      <c r="S240" s="23"/>
    </row>
    <row r="241">
      <c r="A241" s="23"/>
      <c r="J241" s="23"/>
      <c r="S241" s="23"/>
    </row>
    <row r="242">
      <c r="A242" s="23"/>
      <c r="J242" s="23"/>
      <c r="S242" s="23"/>
    </row>
    <row r="243">
      <c r="A243" s="23"/>
      <c r="J243" s="23"/>
      <c r="S243" s="23"/>
    </row>
    <row r="244">
      <c r="A244" s="23"/>
      <c r="J244" s="23"/>
      <c r="S244" s="23"/>
    </row>
    <row r="245">
      <c r="A245" s="23"/>
      <c r="J245" s="23"/>
      <c r="S245" s="23"/>
    </row>
    <row r="246">
      <c r="A246" s="23"/>
      <c r="J246" s="23"/>
      <c r="S246" s="23"/>
    </row>
    <row r="247">
      <c r="A247" s="23"/>
      <c r="J247" s="23"/>
      <c r="S247" s="23"/>
    </row>
    <row r="248">
      <c r="A248" s="23"/>
      <c r="J248" s="23"/>
      <c r="S248" s="23"/>
    </row>
    <row r="249">
      <c r="A249" s="23"/>
      <c r="J249" s="23"/>
      <c r="S249" s="23"/>
    </row>
    <row r="250">
      <c r="A250" s="23"/>
      <c r="J250" s="23"/>
      <c r="S250" s="23"/>
    </row>
    <row r="251">
      <c r="A251" s="23"/>
      <c r="J251" s="23"/>
      <c r="S251" s="23"/>
    </row>
    <row r="252">
      <c r="A252" s="23"/>
      <c r="J252" s="23"/>
      <c r="S252" s="23"/>
    </row>
    <row r="253">
      <c r="A253" s="23"/>
      <c r="J253" s="23"/>
      <c r="S253" s="23"/>
    </row>
    <row r="254">
      <c r="A254" s="23"/>
      <c r="J254" s="23"/>
      <c r="S254" s="23"/>
    </row>
    <row r="255">
      <c r="A255" s="23"/>
      <c r="J255" s="23"/>
      <c r="S255" s="23"/>
    </row>
    <row r="256">
      <c r="A256" s="23"/>
      <c r="J256" s="23"/>
      <c r="S256" s="23"/>
    </row>
    <row r="257">
      <c r="A257" s="23"/>
      <c r="J257" s="23"/>
      <c r="S257" s="23"/>
    </row>
    <row r="258">
      <c r="A258" s="23"/>
      <c r="J258" s="23"/>
      <c r="S258" s="23"/>
    </row>
    <row r="259">
      <c r="A259" s="23"/>
      <c r="J259" s="23"/>
      <c r="S259" s="23"/>
    </row>
    <row r="260">
      <c r="A260" s="23"/>
      <c r="J260" s="23"/>
      <c r="S260" s="23"/>
    </row>
    <row r="261">
      <c r="A261" s="23"/>
      <c r="J261" s="23"/>
      <c r="S261" s="23"/>
    </row>
    <row r="262">
      <c r="A262" s="23"/>
      <c r="J262" s="23"/>
      <c r="S262" s="23"/>
    </row>
    <row r="263">
      <c r="A263" s="23"/>
      <c r="J263" s="23"/>
      <c r="S263" s="23"/>
    </row>
    <row r="264">
      <c r="A264" s="23"/>
      <c r="J264" s="23"/>
      <c r="S264" s="23"/>
    </row>
    <row r="265">
      <c r="A265" s="23"/>
      <c r="J265" s="23"/>
      <c r="S265" s="23"/>
    </row>
    <row r="266">
      <c r="A266" s="23"/>
      <c r="J266" s="23"/>
      <c r="S266" s="23"/>
    </row>
    <row r="267">
      <c r="A267" s="23"/>
      <c r="J267" s="23"/>
      <c r="S267" s="23"/>
    </row>
    <row r="268">
      <c r="A268" s="23"/>
      <c r="J268" s="23"/>
      <c r="S268" s="23"/>
    </row>
    <row r="269">
      <c r="A269" s="23"/>
      <c r="J269" s="23"/>
      <c r="S269" s="23"/>
    </row>
    <row r="270">
      <c r="A270" s="23"/>
      <c r="J270" s="23"/>
      <c r="S270" s="23"/>
    </row>
    <row r="271">
      <c r="A271" s="23"/>
      <c r="J271" s="23"/>
      <c r="S271" s="23"/>
    </row>
    <row r="272">
      <c r="A272" s="23"/>
      <c r="J272" s="23"/>
      <c r="S272" s="23"/>
    </row>
    <row r="273">
      <c r="A273" s="23"/>
      <c r="J273" s="23"/>
      <c r="S273" s="23"/>
    </row>
    <row r="274">
      <c r="A274" s="23"/>
      <c r="J274" s="23"/>
      <c r="S274" s="23"/>
    </row>
    <row r="275">
      <c r="A275" s="23"/>
      <c r="J275" s="23"/>
      <c r="S275" s="23"/>
    </row>
    <row r="276">
      <c r="A276" s="23"/>
      <c r="J276" s="23"/>
      <c r="S276" s="23"/>
    </row>
    <row r="277">
      <c r="A277" s="23"/>
      <c r="J277" s="23"/>
      <c r="S277" s="23"/>
    </row>
    <row r="278">
      <c r="A278" s="23"/>
      <c r="J278" s="23"/>
      <c r="S278" s="23"/>
    </row>
    <row r="279">
      <c r="A279" s="23"/>
      <c r="J279" s="23"/>
      <c r="S279" s="23"/>
    </row>
    <row r="280">
      <c r="A280" s="23"/>
      <c r="J280" s="23"/>
      <c r="S280" s="23"/>
    </row>
    <row r="281">
      <c r="A281" s="23"/>
      <c r="J281" s="23"/>
      <c r="S281" s="23"/>
    </row>
    <row r="282">
      <c r="A282" s="23"/>
      <c r="J282" s="23"/>
      <c r="S282" s="23"/>
    </row>
    <row r="283">
      <c r="A283" s="23"/>
      <c r="J283" s="23"/>
      <c r="S283" s="23"/>
    </row>
    <row r="284">
      <c r="A284" s="23"/>
      <c r="J284" s="23"/>
      <c r="S284" s="23"/>
    </row>
    <row r="285">
      <c r="A285" s="23"/>
      <c r="J285" s="23"/>
      <c r="S285" s="23"/>
    </row>
    <row r="286">
      <c r="A286" s="23"/>
      <c r="J286" s="23"/>
      <c r="S286" s="23"/>
    </row>
    <row r="287">
      <c r="A287" s="23"/>
      <c r="J287" s="23"/>
      <c r="S287" s="23"/>
    </row>
    <row r="288">
      <c r="A288" s="23"/>
      <c r="J288" s="23"/>
      <c r="S288" s="23"/>
    </row>
    <row r="289">
      <c r="A289" s="23"/>
      <c r="J289" s="23"/>
      <c r="S289" s="23"/>
    </row>
    <row r="290">
      <c r="A290" s="23"/>
      <c r="J290" s="23"/>
      <c r="S290" s="23"/>
    </row>
    <row r="291">
      <c r="A291" s="23"/>
      <c r="J291" s="23"/>
      <c r="S291" s="23"/>
    </row>
    <row r="292">
      <c r="A292" s="23"/>
      <c r="J292" s="23"/>
      <c r="S292" s="23"/>
    </row>
    <row r="293">
      <c r="A293" s="23"/>
      <c r="J293" s="23"/>
      <c r="S293" s="23"/>
    </row>
    <row r="294">
      <c r="A294" s="23"/>
      <c r="J294" s="23"/>
      <c r="S294" s="23"/>
    </row>
    <row r="295">
      <c r="A295" s="23"/>
      <c r="J295" s="23"/>
      <c r="S295" s="23"/>
    </row>
    <row r="296">
      <c r="A296" s="23"/>
      <c r="J296" s="23"/>
      <c r="S296" s="23"/>
    </row>
    <row r="297">
      <c r="A297" s="23"/>
      <c r="J297" s="23"/>
      <c r="S297" s="23"/>
    </row>
    <row r="298">
      <c r="A298" s="23"/>
      <c r="J298" s="23"/>
      <c r="S298" s="23"/>
    </row>
    <row r="299">
      <c r="A299" s="23"/>
      <c r="J299" s="23"/>
      <c r="S299" s="23"/>
    </row>
    <row r="300">
      <c r="A300" s="23"/>
      <c r="J300" s="23"/>
      <c r="S300" s="23"/>
    </row>
    <row r="301">
      <c r="A301" s="23"/>
      <c r="J301" s="23"/>
      <c r="S301" s="23"/>
    </row>
    <row r="302">
      <c r="A302" s="23"/>
      <c r="J302" s="23"/>
      <c r="S302" s="23"/>
    </row>
    <row r="303">
      <c r="A303" s="23"/>
      <c r="J303" s="23"/>
      <c r="S303" s="23"/>
    </row>
    <row r="304">
      <c r="A304" s="23"/>
      <c r="J304" s="23"/>
      <c r="S304" s="23"/>
    </row>
    <row r="305">
      <c r="A305" s="23"/>
      <c r="J305" s="23"/>
      <c r="S305" s="23"/>
    </row>
    <row r="306">
      <c r="A306" s="23"/>
      <c r="J306" s="23"/>
      <c r="S306" s="23"/>
    </row>
    <row r="307">
      <c r="A307" s="23"/>
      <c r="J307" s="23"/>
      <c r="S307" s="23"/>
    </row>
    <row r="308">
      <c r="A308" s="23"/>
      <c r="J308" s="23"/>
      <c r="S308" s="23"/>
    </row>
    <row r="309">
      <c r="A309" s="23"/>
      <c r="J309" s="23"/>
      <c r="S309" s="23"/>
    </row>
    <row r="310">
      <c r="A310" s="23"/>
      <c r="J310" s="23"/>
      <c r="S310" s="23"/>
    </row>
    <row r="311">
      <c r="A311" s="23"/>
      <c r="J311" s="23"/>
      <c r="S311" s="23"/>
    </row>
    <row r="312">
      <c r="A312" s="23"/>
      <c r="J312" s="23"/>
      <c r="S312" s="23"/>
    </row>
    <row r="313">
      <c r="A313" s="23"/>
      <c r="J313" s="23"/>
      <c r="S313" s="23"/>
    </row>
    <row r="314">
      <c r="A314" s="23"/>
      <c r="J314" s="23"/>
      <c r="S314" s="23"/>
    </row>
    <row r="315">
      <c r="A315" s="23"/>
      <c r="J315" s="23"/>
      <c r="S315" s="23"/>
    </row>
    <row r="316">
      <c r="A316" s="23"/>
      <c r="J316" s="23"/>
      <c r="S316" s="23"/>
    </row>
    <row r="317">
      <c r="A317" s="23"/>
      <c r="J317" s="23"/>
      <c r="S317" s="23"/>
    </row>
    <row r="318">
      <c r="A318" s="23"/>
      <c r="J318" s="23"/>
      <c r="S318" s="23"/>
    </row>
    <row r="319">
      <c r="A319" s="23"/>
      <c r="J319" s="23"/>
      <c r="S319" s="23"/>
    </row>
    <row r="320">
      <c r="A320" s="23"/>
      <c r="J320" s="23"/>
      <c r="S320" s="23"/>
    </row>
    <row r="321">
      <c r="A321" s="23"/>
      <c r="J321" s="23"/>
      <c r="S321" s="23"/>
    </row>
    <row r="322">
      <c r="A322" s="23"/>
      <c r="J322" s="23"/>
      <c r="S322" s="23"/>
    </row>
    <row r="323">
      <c r="A323" s="23"/>
      <c r="J323" s="23"/>
      <c r="S323" s="23"/>
    </row>
    <row r="324">
      <c r="A324" s="23"/>
      <c r="J324" s="23"/>
      <c r="S324" s="23"/>
    </row>
    <row r="325">
      <c r="A325" s="23"/>
      <c r="J325" s="23"/>
      <c r="S325" s="23"/>
    </row>
    <row r="326">
      <c r="A326" s="23"/>
      <c r="J326" s="23"/>
      <c r="S326" s="23"/>
    </row>
    <row r="327">
      <c r="A327" s="23"/>
      <c r="J327" s="23"/>
      <c r="S327" s="23"/>
    </row>
    <row r="328">
      <c r="A328" s="23"/>
      <c r="J328" s="23"/>
      <c r="S328" s="23"/>
    </row>
    <row r="329">
      <c r="A329" s="23"/>
      <c r="J329" s="23"/>
      <c r="S329" s="23"/>
    </row>
    <row r="330">
      <c r="A330" s="23"/>
      <c r="J330" s="23"/>
      <c r="S330" s="23"/>
    </row>
    <row r="331">
      <c r="A331" s="23"/>
      <c r="J331" s="23"/>
      <c r="S331" s="23"/>
    </row>
    <row r="332">
      <c r="A332" s="23"/>
      <c r="J332" s="23"/>
      <c r="S332" s="23"/>
    </row>
    <row r="333">
      <c r="A333" s="23"/>
      <c r="J333" s="23"/>
      <c r="S333" s="23"/>
    </row>
    <row r="334">
      <c r="A334" s="23"/>
      <c r="J334" s="23"/>
      <c r="S334" s="23"/>
    </row>
    <row r="335">
      <c r="A335" s="23"/>
      <c r="J335" s="23"/>
      <c r="S335" s="23"/>
    </row>
    <row r="336">
      <c r="A336" s="23"/>
      <c r="J336" s="23"/>
      <c r="S336" s="23"/>
    </row>
    <row r="337">
      <c r="A337" s="23"/>
      <c r="J337" s="23"/>
      <c r="S337" s="23"/>
    </row>
    <row r="338">
      <c r="A338" s="23"/>
      <c r="J338" s="23"/>
      <c r="S338" s="23"/>
    </row>
    <row r="339">
      <c r="A339" s="23"/>
      <c r="J339" s="23"/>
      <c r="S339" s="23"/>
    </row>
    <row r="340">
      <c r="A340" s="23"/>
      <c r="J340" s="23"/>
      <c r="S340" s="23"/>
    </row>
    <row r="341">
      <c r="A341" s="23"/>
      <c r="J341" s="23"/>
      <c r="S341" s="23"/>
    </row>
    <row r="342">
      <c r="A342" s="23"/>
      <c r="J342" s="23"/>
      <c r="S342" s="23"/>
    </row>
    <row r="343">
      <c r="A343" s="23"/>
      <c r="J343" s="23"/>
      <c r="S343" s="23"/>
    </row>
    <row r="344">
      <c r="A344" s="23"/>
      <c r="J344" s="23"/>
      <c r="S344" s="23"/>
    </row>
    <row r="345">
      <c r="A345" s="23"/>
      <c r="J345" s="23"/>
      <c r="S345" s="23"/>
    </row>
    <row r="346">
      <c r="A346" s="23"/>
      <c r="J346" s="23"/>
      <c r="S346" s="23"/>
    </row>
    <row r="347">
      <c r="A347" s="23"/>
      <c r="J347" s="23"/>
      <c r="S347" s="23"/>
    </row>
    <row r="348">
      <c r="A348" s="23"/>
      <c r="J348" s="23"/>
      <c r="S348" s="23"/>
    </row>
    <row r="349">
      <c r="A349" s="23"/>
      <c r="J349" s="23"/>
      <c r="S349" s="23"/>
    </row>
    <row r="350">
      <c r="A350" s="23"/>
      <c r="J350" s="23"/>
      <c r="S350" s="23"/>
    </row>
    <row r="351">
      <c r="A351" s="23"/>
      <c r="J351" s="23"/>
      <c r="S351" s="23"/>
    </row>
    <row r="352">
      <c r="A352" s="23"/>
      <c r="J352" s="23"/>
      <c r="S352" s="23"/>
    </row>
    <row r="353">
      <c r="A353" s="23"/>
      <c r="J353" s="23"/>
      <c r="S353" s="23"/>
    </row>
    <row r="354">
      <c r="A354" s="23"/>
      <c r="J354" s="23"/>
      <c r="S354" s="23"/>
    </row>
    <row r="355">
      <c r="A355" s="23"/>
      <c r="J355" s="23"/>
      <c r="S355" s="23"/>
    </row>
    <row r="356">
      <c r="A356" s="23"/>
      <c r="J356" s="23"/>
      <c r="S356" s="23"/>
    </row>
    <row r="357">
      <c r="A357" s="23"/>
      <c r="J357" s="23"/>
      <c r="S357" s="23"/>
    </row>
    <row r="358">
      <c r="A358" s="23"/>
      <c r="J358" s="23"/>
      <c r="S358" s="23"/>
    </row>
    <row r="359">
      <c r="A359" s="23"/>
      <c r="J359" s="23"/>
      <c r="S359" s="23"/>
    </row>
    <row r="360">
      <c r="A360" s="23"/>
      <c r="J360" s="23"/>
      <c r="S360" s="23"/>
    </row>
    <row r="361">
      <c r="A361" s="23"/>
      <c r="J361" s="23"/>
      <c r="S361" s="23"/>
    </row>
    <row r="362">
      <c r="A362" s="23"/>
      <c r="J362" s="23"/>
      <c r="S362" s="23"/>
    </row>
    <row r="363">
      <c r="A363" s="23"/>
      <c r="J363" s="23"/>
      <c r="S363" s="23"/>
    </row>
    <row r="364">
      <c r="A364" s="23"/>
      <c r="J364" s="23"/>
      <c r="S364" s="23"/>
    </row>
    <row r="365">
      <c r="A365" s="23"/>
      <c r="J365" s="23"/>
      <c r="S365" s="23"/>
    </row>
    <row r="366">
      <c r="A366" s="23"/>
      <c r="J366" s="23"/>
      <c r="S366" s="23"/>
    </row>
    <row r="367">
      <c r="A367" s="23"/>
      <c r="J367" s="23"/>
      <c r="S367" s="23"/>
    </row>
    <row r="368">
      <c r="A368" s="23"/>
      <c r="J368" s="23"/>
      <c r="S368" s="23"/>
    </row>
    <row r="369">
      <c r="A369" s="23"/>
      <c r="J369" s="23"/>
      <c r="S369" s="23"/>
    </row>
    <row r="370">
      <c r="A370" s="23"/>
      <c r="J370" s="23"/>
      <c r="S370" s="23"/>
    </row>
    <row r="371">
      <c r="A371" s="23"/>
      <c r="J371" s="23"/>
      <c r="S371" s="23"/>
    </row>
    <row r="372">
      <c r="A372" s="23"/>
      <c r="J372" s="23"/>
      <c r="S372" s="23"/>
    </row>
    <row r="373">
      <c r="A373" s="23"/>
      <c r="J373" s="23"/>
      <c r="S373" s="23"/>
    </row>
    <row r="374">
      <c r="A374" s="23"/>
      <c r="J374" s="23"/>
      <c r="S374" s="23"/>
    </row>
    <row r="375">
      <c r="A375" s="23"/>
      <c r="J375" s="23"/>
      <c r="S375" s="23"/>
    </row>
    <row r="376">
      <c r="A376" s="23"/>
      <c r="J376" s="23"/>
      <c r="S376" s="23"/>
    </row>
    <row r="377">
      <c r="A377" s="23"/>
      <c r="J377" s="23"/>
      <c r="S377" s="23"/>
    </row>
    <row r="378">
      <c r="A378" s="23"/>
      <c r="J378" s="23"/>
      <c r="S378" s="23"/>
    </row>
    <row r="379">
      <c r="A379" s="23"/>
      <c r="J379" s="23"/>
      <c r="S379" s="23"/>
    </row>
    <row r="380">
      <c r="A380" s="23"/>
      <c r="J380" s="23"/>
      <c r="S380" s="23"/>
    </row>
    <row r="381">
      <c r="A381" s="23"/>
      <c r="J381" s="23"/>
      <c r="S381" s="23"/>
    </row>
    <row r="382">
      <c r="A382" s="23"/>
      <c r="J382" s="23"/>
      <c r="S382" s="23"/>
    </row>
    <row r="383">
      <c r="A383" s="23"/>
      <c r="J383" s="23"/>
      <c r="S383" s="23"/>
    </row>
    <row r="384">
      <c r="A384" s="23"/>
      <c r="J384" s="23"/>
      <c r="S384" s="23"/>
    </row>
    <row r="385">
      <c r="A385" s="23"/>
      <c r="J385" s="23"/>
      <c r="S385" s="23"/>
    </row>
    <row r="386">
      <c r="A386" s="23"/>
      <c r="J386" s="23"/>
      <c r="S386" s="23"/>
    </row>
    <row r="387">
      <c r="A387" s="23"/>
      <c r="J387" s="23"/>
      <c r="S387" s="23"/>
    </row>
    <row r="388">
      <c r="A388" s="23"/>
      <c r="J388" s="23"/>
      <c r="S388" s="23"/>
    </row>
    <row r="389">
      <c r="A389" s="23"/>
      <c r="J389" s="23"/>
      <c r="S389" s="23"/>
    </row>
    <row r="390">
      <c r="A390" s="23"/>
      <c r="J390" s="23"/>
      <c r="S390" s="23"/>
    </row>
    <row r="391">
      <c r="A391" s="23"/>
      <c r="J391" s="23"/>
      <c r="S391" s="23"/>
    </row>
    <row r="392">
      <c r="A392" s="23"/>
      <c r="J392" s="23"/>
      <c r="S392" s="23"/>
    </row>
    <row r="393">
      <c r="A393" s="23"/>
      <c r="J393" s="23"/>
      <c r="S393" s="23"/>
    </row>
    <row r="394">
      <c r="A394" s="23"/>
      <c r="J394" s="23"/>
      <c r="S394" s="23"/>
    </row>
    <row r="395">
      <c r="A395" s="23"/>
      <c r="J395" s="23"/>
      <c r="S395" s="23"/>
    </row>
    <row r="396">
      <c r="A396" s="23"/>
      <c r="J396" s="23"/>
      <c r="S396" s="23"/>
    </row>
    <row r="397">
      <c r="A397" s="23"/>
      <c r="J397" s="23"/>
      <c r="S397" s="23"/>
    </row>
    <row r="398">
      <c r="A398" s="23"/>
      <c r="J398" s="23"/>
      <c r="S398" s="23"/>
    </row>
    <row r="399">
      <c r="A399" s="23"/>
      <c r="J399" s="23"/>
      <c r="S399" s="23"/>
    </row>
    <row r="400">
      <c r="A400" s="23"/>
      <c r="J400" s="23"/>
      <c r="S400" s="23"/>
    </row>
    <row r="401">
      <c r="A401" s="23"/>
      <c r="J401" s="23"/>
      <c r="S401" s="23"/>
    </row>
    <row r="402">
      <c r="A402" s="23"/>
      <c r="J402" s="23"/>
      <c r="S402" s="23"/>
    </row>
    <row r="403">
      <c r="A403" s="23"/>
      <c r="J403" s="23"/>
      <c r="S403" s="23"/>
    </row>
    <row r="404">
      <c r="A404" s="23"/>
      <c r="J404" s="23"/>
      <c r="S404" s="23"/>
    </row>
    <row r="405">
      <c r="A405" s="23"/>
      <c r="J405" s="23"/>
      <c r="S405" s="23"/>
    </row>
    <row r="406">
      <c r="A406" s="23"/>
      <c r="J406" s="23"/>
      <c r="S406" s="23"/>
    </row>
    <row r="407">
      <c r="A407" s="23"/>
      <c r="J407" s="23"/>
      <c r="S407" s="23"/>
    </row>
    <row r="408">
      <c r="A408" s="23"/>
      <c r="J408" s="23"/>
      <c r="S408" s="23"/>
    </row>
    <row r="409">
      <c r="A409" s="23"/>
      <c r="J409" s="23"/>
      <c r="S409" s="23"/>
    </row>
    <row r="410">
      <c r="A410" s="23"/>
      <c r="J410" s="23"/>
      <c r="S410" s="23"/>
    </row>
    <row r="411">
      <c r="A411" s="23"/>
      <c r="J411" s="23"/>
      <c r="S411" s="23"/>
    </row>
    <row r="412">
      <c r="A412" s="23"/>
      <c r="J412" s="23"/>
      <c r="S412" s="23"/>
    </row>
    <row r="413">
      <c r="A413" s="23"/>
      <c r="J413" s="23"/>
      <c r="S413" s="23"/>
    </row>
    <row r="414">
      <c r="A414" s="23"/>
      <c r="J414" s="23"/>
      <c r="S414" s="23"/>
    </row>
    <row r="415">
      <c r="A415" s="23"/>
      <c r="J415" s="23"/>
      <c r="S415" s="23"/>
    </row>
    <row r="416">
      <c r="A416" s="23"/>
      <c r="J416" s="23"/>
      <c r="S416" s="23"/>
    </row>
    <row r="417">
      <c r="A417" s="23"/>
      <c r="J417" s="23"/>
      <c r="S417" s="23"/>
    </row>
    <row r="418">
      <c r="A418" s="23"/>
      <c r="J418" s="23"/>
      <c r="S418" s="23"/>
    </row>
    <row r="419">
      <c r="A419" s="23"/>
      <c r="J419" s="23"/>
      <c r="S419" s="23"/>
    </row>
    <row r="420">
      <c r="A420" s="23"/>
      <c r="J420" s="23"/>
      <c r="S420" s="23"/>
    </row>
    <row r="421">
      <c r="A421" s="23"/>
      <c r="J421" s="23"/>
      <c r="S421" s="23"/>
    </row>
    <row r="422">
      <c r="A422" s="23"/>
      <c r="J422" s="23"/>
      <c r="S422" s="23"/>
    </row>
    <row r="423">
      <c r="A423" s="23"/>
      <c r="J423" s="23"/>
      <c r="S423" s="23"/>
    </row>
    <row r="424">
      <c r="A424" s="23"/>
      <c r="J424" s="23"/>
      <c r="S424" s="23"/>
    </row>
    <row r="425">
      <c r="A425" s="23"/>
      <c r="J425" s="23"/>
      <c r="S425" s="23"/>
    </row>
    <row r="426">
      <c r="A426" s="23"/>
      <c r="J426" s="23"/>
      <c r="S426" s="23"/>
    </row>
    <row r="427">
      <c r="A427" s="23"/>
      <c r="J427" s="23"/>
      <c r="S427" s="23"/>
    </row>
    <row r="428">
      <c r="A428" s="23"/>
      <c r="J428" s="23"/>
      <c r="S428" s="23"/>
    </row>
    <row r="429">
      <c r="A429" s="23"/>
      <c r="J429" s="23"/>
      <c r="S429" s="23"/>
    </row>
    <row r="430">
      <c r="A430" s="23"/>
      <c r="J430" s="23"/>
      <c r="S430" s="23"/>
    </row>
    <row r="431">
      <c r="A431" s="23"/>
      <c r="J431" s="23"/>
      <c r="S431" s="23"/>
    </row>
    <row r="432">
      <c r="A432" s="23"/>
      <c r="J432" s="23"/>
      <c r="S432" s="23"/>
    </row>
    <row r="433">
      <c r="A433" s="23"/>
      <c r="J433" s="23"/>
      <c r="S433" s="23"/>
    </row>
    <row r="434">
      <c r="A434" s="23"/>
      <c r="J434" s="23"/>
      <c r="S434" s="23"/>
    </row>
    <row r="435">
      <c r="A435" s="23"/>
      <c r="J435" s="23"/>
      <c r="S435" s="23"/>
    </row>
    <row r="436">
      <c r="A436" s="23"/>
      <c r="J436" s="23"/>
      <c r="S436" s="23"/>
    </row>
    <row r="437">
      <c r="A437" s="23"/>
      <c r="J437" s="23"/>
      <c r="S437" s="23"/>
    </row>
    <row r="438">
      <c r="A438" s="23"/>
      <c r="J438" s="23"/>
      <c r="S438" s="23"/>
    </row>
    <row r="439">
      <c r="A439" s="23"/>
      <c r="J439" s="23"/>
      <c r="S439" s="23"/>
    </row>
    <row r="440">
      <c r="A440" s="23"/>
      <c r="J440" s="23"/>
      <c r="S440" s="23"/>
    </row>
    <row r="441">
      <c r="A441" s="23"/>
      <c r="J441" s="23"/>
      <c r="S441" s="23"/>
    </row>
    <row r="442">
      <c r="A442" s="23"/>
      <c r="J442" s="23"/>
      <c r="S442" s="23"/>
    </row>
    <row r="443">
      <c r="A443" s="23"/>
      <c r="J443" s="23"/>
      <c r="S443" s="23"/>
    </row>
    <row r="444">
      <c r="A444" s="23"/>
      <c r="J444" s="23"/>
      <c r="S444" s="23"/>
    </row>
    <row r="445">
      <c r="A445" s="23"/>
      <c r="J445" s="23"/>
      <c r="S445" s="23"/>
    </row>
    <row r="446">
      <c r="A446" s="23"/>
      <c r="J446" s="23"/>
      <c r="S446" s="23"/>
    </row>
    <row r="447">
      <c r="A447" s="23"/>
      <c r="J447" s="23"/>
      <c r="S447" s="23"/>
    </row>
    <row r="448">
      <c r="A448" s="23"/>
      <c r="J448" s="23"/>
      <c r="S448" s="23"/>
    </row>
    <row r="449">
      <c r="A449" s="23"/>
      <c r="J449" s="23"/>
      <c r="S449" s="23"/>
    </row>
    <row r="450">
      <c r="A450" s="23"/>
      <c r="J450" s="23"/>
      <c r="S450" s="23"/>
    </row>
    <row r="451">
      <c r="A451" s="23"/>
      <c r="J451" s="23"/>
      <c r="S451" s="23"/>
    </row>
    <row r="452">
      <c r="A452" s="23"/>
      <c r="J452" s="23"/>
      <c r="S452" s="23"/>
    </row>
    <row r="453">
      <c r="A453" s="23"/>
      <c r="J453" s="23"/>
      <c r="S453" s="23"/>
    </row>
    <row r="454">
      <c r="A454" s="23"/>
      <c r="J454" s="23"/>
      <c r="S454" s="23"/>
    </row>
    <row r="455">
      <c r="A455" s="23"/>
      <c r="J455" s="23"/>
      <c r="S455" s="23"/>
    </row>
    <row r="456">
      <c r="A456" s="23"/>
      <c r="J456" s="23"/>
      <c r="S456" s="23"/>
    </row>
    <row r="457">
      <c r="A457" s="23"/>
      <c r="J457" s="23"/>
      <c r="S457" s="23"/>
    </row>
    <row r="458">
      <c r="A458" s="23"/>
      <c r="J458" s="23"/>
      <c r="S458" s="23"/>
    </row>
    <row r="459">
      <c r="A459" s="23"/>
      <c r="J459" s="23"/>
      <c r="S459" s="23"/>
    </row>
    <row r="460">
      <c r="A460" s="23"/>
      <c r="J460" s="23"/>
      <c r="S460" s="23"/>
    </row>
    <row r="461">
      <c r="A461" s="23"/>
      <c r="J461" s="23"/>
      <c r="S461" s="23"/>
    </row>
    <row r="462">
      <c r="A462" s="23"/>
      <c r="J462" s="23"/>
      <c r="S462" s="23"/>
    </row>
    <row r="463">
      <c r="A463" s="23"/>
      <c r="J463" s="23"/>
      <c r="S463" s="23"/>
    </row>
    <row r="464">
      <c r="A464" s="23"/>
      <c r="J464" s="23"/>
      <c r="S464" s="23"/>
    </row>
    <row r="465">
      <c r="A465" s="23"/>
      <c r="J465" s="23"/>
      <c r="S465" s="23"/>
    </row>
    <row r="466">
      <c r="A466" s="23"/>
      <c r="J466" s="23"/>
      <c r="S466" s="23"/>
    </row>
    <row r="467">
      <c r="A467" s="23"/>
      <c r="J467" s="23"/>
      <c r="S467" s="23"/>
    </row>
    <row r="468">
      <c r="A468" s="23"/>
      <c r="J468" s="23"/>
      <c r="S468" s="23"/>
    </row>
    <row r="469">
      <c r="A469" s="23"/>
      <c r="J469" s="23"/>
      <c r="S469" s="23"/>
    </row>
    <row r="470">
      <c r="A470" s="23"/>
      <c r="J470" s="23"/>
      <c r="S470" s="23"/>
    </row>
    <row r="471">
      <c r="A471" s="23"/>
      <c r="J471" s="23"/>
      <c r="S471" s="23"/>
    </row>
    <row r="472">
      <c r="A472" s="23"/>
      <c r="J472" s="23"/>
      <c r="S472" s="23"/>
    </row>
    <row r="473">
      <c r="A473" s="23"/>
      <c r="J473" s="23"/>
      <c r="S473" s="23"/>
    </row>
    <row r="474">
      <c r="A474" s="23"/>
      <c r="J474" s="23"/>
      <c r="S474" s="23"/>
    </row>
    <row r="475">
      <c r="A475" s="23"/>
      <c r="J475" s="23"/>
      <c r="S475" s="23"/>
    </row>
    <row r="476">
      <c r="A476" s="23"/>
      <c r="J476" s="23"/>
      <c r="S476" s="23"/>
    </row>
    <row r="477">
      <c r="A477" s="23"/>
      <c r="J477" s="23"/>
      <c r="S477" s="23"/>
    </row>
    <row r="478">
      <c r="A478" s="23"/>
      <c r="J478" s="23"/>
      <c r="S478" s="23"/>
    </row>
    <row r="479">
      <c r="A479" s="23"/>
      <c r="J479" s="23"/>
      <c r="S479" s="23"/>
    </row>
    <row r="480">
      <c r="A480" s="23"/>
      <c r="J480" s="23"/>
      <c r="S480" s="23"/>
    </row>
    <row r="481">
      <c r="A481" s="23"/>
      <c r="J481" s="23"/>
      <c r="S481" s="23"/>
    </row>
    <row r="482">
      <c r="A482" s="23"/>
      <c r="J482" s="23"/>
      <c r="S482" s="23"/>
    </row>
    <row r="483">
      <c r="A483" s="23"/>
      <c r="J483" s="23"/>
      <c r="S483" s="23"/>
    </row>
    <row r="484">
      <c r="A484" s="23"/>
      <c r="J484" s="23"/>
      <c r="S484" s="23"/>
    </row>
    <row r="485">
      <c r="A485" s="23"/>
      <c r="J485" s="23"/>
      <c r="S485" s="23"/>
    </row>
    <row r="486">
      <c r="A486" s="23"/>
      <c r="J486" s="23"/>
      <c r="S486" s="23"/>
    </row>
    <row r="487">
      <c r="A487" s="23"/>
      <c r="J487" s="23"/>
      <c r="S487" s="23"/>
    </row>
    <row r="488">
      <c r="A488" s="23"/>
      <c r="J488" s="23"/>
      <c r="S488" s="23"/>
    </row>
    <row r="489">
      <c r="A489" s="23"/>
      <c r="J489" s="23"/>
      <c r="S489" s="23"/>
    </row>
    <row r="490">
      <c r="A490" s="23"/>
      <c r="J490" s="23"/>
      <c r="S490" s="23"/>
    </row>
    <row r="491">
      <c r="A491" s="23"/>
      <c r="J491" s="23"/>
      <c r="S491" s="23"/>
    </row>
    <row r="492">
      <c r="A492" s="23"/>
      <c r="J492" s="23"/>
      <c r="S492" s="23"/>
    </row>
    <row r="493">
      <c r="A493" s="23"/>
      <c r="J493" s="23"/>
      <c r="S493" s="23"/>
    </row>
    <row r="494">
      <c r="A494" s="23"/>
      <c r="J494" s="23"/>
      <c r="S494" s="23"/>
    </row>
    <row r="495">
      <c r="A495" s="23"/>
      <c r="J495" s="23"/>
      <c r="S495" s="23"/>
    </row>
    <row r="496">
      <c r="A496" s="23"/>
      <c r="J496" s="23"/>
      <c r="S496" s="23"/>
    </row>
    <row r="497">
      <c r="A497" s="23"/>
      <c r="J497" s="23"/>
      <c r="S497" s="23"/>
    </row>
    <row r="498">
      <c r="A498" s="23"/>
      <c r="J498" s="23"/>
      <c r="S498" s="23"/>
    </row>
    <row r="499">
      <c r="A499" s="23"/>
      <c r="J499" s="23"/>
      <c r="S499" s="23"/>
    </row>
    <row r="500">
      <c r="A500" s="23"/>
      <c r="J500" s="23"/>
      <c r="S500" s="23"/>
    </row>
    <row r="501">
      <c r="A501" s="23"/>
      <c r="J501" s="23"/>
      <c r="S501" s="23"/>
    </row>
    <row r="502">
      <c r="A502" s="23"/>
      <c r="J502" s="23"/>
      <c r="S502" s="23"/>
    </row>
    <row r="503">
      <c r="A503" s="23"/>
      <c r="J503" s="23"/>
      <c r="S503" s="23"/>
    </row>
    <row r="504">
      <c r="A504" s="23"/>
      <c r="J504" s="23"/>
      <c r="S504" s="23"/>
    </row>
    <row r="505">
      <c r="A505" s="23"/>
      <c r="J505" s="23"/>
      <c r="S505" s="23"/>
    </row>
    <row r="506">
      <c r="A506" s="23"/>
      <c r="J506" s="23"/>
      <c r="S506" s="23"/>
    </row>
    <row r="507">
      <c r="A507" s="23"/>
      <c r="J507" s="23"/>
      <c r="S507" s="23"/>
    </row>
    <row r="508">
      <c r="A508" s="23"/>
      <c r="J508" s="23"/>
      <c r="S508" s="23"/>
    </row>
    <row r="509">
      <c r="A509" s="23"/>
      <c r="J509" s="23"/>
      <c r="S509" s="23"/>
    </row>
    <row r="510">
      <c r="A510" s="23"/>
      <c r="J510" s="23"/>
      <c r="S510" s="23"/>
    </row>
    <row r="511">
      <c r="A511" s="23"/>
      <c r="J511" s="23"/>
      <c r="S511" s="23"/>
    </row>
    <row r="512">
      <c r="A512" s="23"/>
      <c r="J512" s="23"/>
      <c r="S512" s="23"/>
    </row>
    <row r="513">
      <c r="A513" s="23"/>
      <c r="J513" s="23"/>
      <c r="S513" s="23"/>
    </row>
    <row r="514">
      <c r="A514" s="23"/>
      <c r="J514" s="23"/>
      <c r="S514" s="23"/>
    </row>
    <row r="515">
      <c r="A515" s="23"/>
      <c r="J515" s="23"/>
      <c r="S515" s="23"/>
    </row>
    <row r="516">
      <c r="A516" s="23"/>
      <c r="J516" s="23"/>
      <c r="S516" s="23"/>
    </row>
    <row r="517">
      <c r="A517" s="23"/>
      <c r="J517" s="23"/>
      <c r="S517" s="23"/>
    </row>
    <row r="518">
      <c r="A518" s="23"/>
      <c r="J518" s="23"/>
      <c r="S518" s="23"/>
    </row>
    <row r="519">
      <c r="A519" s="23"/>
      <c r="J519" s="23"/>
      <c r="S519" s="23"/>
    </row>
    <row r="520">
      <c r="A520" s="23"/>
      <c r="J520" s="23"/>
      <c r="S520" s="23"/>
    </row>
    <row r="521">
      <c r="A521" s="23"/>
      <c r="J521" s="23"/>
      <c r="S521" s="23"/>
    </row>
    <row r="522">
      <c r="A522" s="23"/>
      <c r="J522" s="23"/>
      <c r="S522" s="23"/>
    </row>
    <row r="523">
      <c r="A523" s="23"/>
      <c r="J523" s="23"/>
      <c r="S523" s="23"/>
    </row>
    <row r="524">
      <c r="A524" s="23"/>
      <c r="J524" s="23"/>
      <c r="S524" s="23"/>
    </row>
    <row r="525">
      <c r="A525" s="23"/>
      <c r="J525" s="23"/>
      <c r="S525" s="23"/>
    </row>
    <row r="526">
      <c r="A526" s="23"/>
      <c r="J526" s="23"/>
      <c r="S526" s="23"/>
    </row>
    <row r="527">
      <c r="A527" s="23"/>
      <c r="J527" s="23"/>
      <c r="S527" s="23"/>
    </row>
    <row r="528">
      <c r="A528" s="23"/>
      <c r="J528" s="23"/>
      <c r="S528" s="23"/>
    </row>
    <row r="529">
      <c r="A529" s="23"/>
      <c r="J529" s="23"/>
      <c r="S529" s="23"/>
    </row>
    <row r="530">
      <c r="A530" s="23"/>
      <c r="J530" s="23"/>
      <c r="S530" s="23"/>
    </row>
    <row r="531">
      <c r="A531" s="23"/>
      <c r="J531" s="23"/>
      <c r="S531" s="23"/>
    </row>
    <row r="532">
      <c r="A532" s="23"/>
      <c r="J532" s="23"/>
      <c r="S532" s="23"/>
    </row>
    <row r="533">
      <c r="A533" s="23"/>
      <c r="J533" s="23"/>
      <c r="S533" s="23"/>
    </row>
    <row r="534">
      <c r="A534" s="23"/>
      <c r="J534" s="23"/>
      <c r="S534" s="23"/>
    </row>
    <row r="535">
      <c r="A535" s="23"/>
      <c r="J535" s="23"/>
      <c r="S535" s="23"/>
    </row>
    <row r="536">
      <c r="A536" s="23"/>
      <c r="J536" s="23"/>
      <c r="S536" s="23"/>
    </row>
    <row r="537">
      <c r="A537" s="23"/>
      <c r="J537" s="23"/>
      <c r="S537" s="23"/>
    </row>
    <row r="538">
      <c r="A538" s="23"/>
      <c r="J538" s="23"/>
      <c r="S538" s="23"/>
    </row>
    <row r="539">
      <c r="A539" s="23"/>
      <c r="J539" s="23"/>
      <c r="S539" s="23"/>
    </row>
    <row r="540">
      <c r="A540" s="23"/>
      <c r="J540" s="23"/>
      <c r="S540" s="23"/>
    </row>
    <row r="541">
      <c r="A541" s="23"/>
      <c r="J541" s="23"/>
      <c r="S541" s="23"/>
    </row>
    <row r="542">
      <c r="A542" s="23"/>
      <c r="J542" s="23"/>
      <c r="S542" s="23"/>
    </row>
    <row r="543">
      <c r="A543" s="23"/>
      <c r="J543" s="23"/>
      <c r="S543" s="23"/>
    </row>
    <row r="544">
      <c r="A544" s="23"/>
      <c r="J544" s="23"/>
      <c r="S544" s="23"/>
    </row>
    <row r="545">
      <c r="A545" s="23"/>
      <c r="J545" s="23"/>
      <c r="S545" s="23"/>
    </row>
    <row r="546">
      <c r="A546" s="23"/>
      <c r="J546" s="23"/>
      <c r="S546" s="23"/>
    </row>
    <row r="547">
      <c r="A547" s="23"/>
      <c r="J547" s="23"/>
      <c r="S547" s="23"/>
    </row>
    <row r="548">
      <c r="A548" s="23"/>
      <c r="J548" s="23"/>
      <c r="S548" s="23"/>
    </row>
    <row r="549">
      <c r="A549" s="23"/>
      <c r="J549" s="23"/>
      <c r="S549" s="23"/>
    </row>
    <row r="550">
      <c r="A550" s="23"/>
      <c r="J550" s="23"/>
      <c r="S550" s="23"/>
    </row>
    <row r="551">
      <c r="A551" s="23"/>
      <c r="J551" s="23"/>
      <c r="S551" s="23"/>
    </row>
    <row r="552">
      <c r="A552" s="23"/>
      <c r="J552" s="23"/>
      <c r="S552" s="23"/>
    </row>
    <row r="553">
      <c r="A553" s="23"/>
      <c r="J553" s="23"/>
      <c r="S553" s="23"/>
    </row>
    <row r="554">
      <c r="A554" s="23"/>
      <c r="J554" s="23"/>
      <c r="S554" s="23"/>
    </row>
    <row r="555">
      <c r="A555" s="23"/>
      <c r="J555" s="23"/>
      <c r="S555" s="23"/>
    </row>
    <row r="556">
      <c r="A556" s="23"/>
      <c r="J556" s="23"/>
      <c r="S556" s="23"/>
    </row>
    <row r="557">
      <c r="A557" s="23"/>
      <c r="J557" s="23"/>
      <c r="S557" s="23"/>
    </row>
    <row r="558">
      <c r="A558" s="23"/>
      <c r="J558" s="23"/>
      <c r="S558" s="23"/>
    </row>
    <row r="559">
      <c r="A559" s="23"/>
      <c r="J559" s="23"/>
      <c r="S559" s="23"/>
    </row>
    <row r="560">
      <c r="A560" s="23"/>
      <c r="J560" s="23"/>
      <c r="S560" s="23"/>
    </row>
    <row r="561">
      <c r="A561" s="23"/>
      <c r="J561" s="23"/>
      <c r="S561" s="23"/>
    </row>
    <row r="562">
      <c r="A562" s="23"/>
      <c r="J562" s="23"/>
      <c r="S562" s="23"/>
    </row>
    <row r="563">
      <c r="A563" s="23"/>
      <c r="J563" s="23"/>
      <c r="S563" s="23"/>
    </row>
    <row r="564">
      <c r="A564" s="23"/>
      <c r="J564" s="23"/>
      <c r="S564" s="23"/>
    </row>
    <row r="565">
      <c r="A565" s="23"/>
      <c r="J565" s="23"/>
      <c r="S565" s="23"/>
    </row>
    <row r="566">
      <c r="A566" s="23"/>
      <c r="J566" s="23"/>
      <c r="S566" s="23"/>
    </row>
    <row r="567">
      <c r="A567" s="23"/>
      <c r="J567" s="23"/>
      <c r="S567" s="23"/>
    </row>
    <row r="568">
      <c r="A568" s="23"/>
      <c r="J568" s="23"/>
      <c r="S568" s="23"/>
    </row>
    <row r="569">
      <c r="A569" s="23"/>
      <c r="J569" s="23"/>
      <c r="S569" s="23"/>
    </row>
    <row r="570">
      <c r="A570" s="23"/>
      <c r="J570" s="23"/>
      <c r="S570" s="23"/>
    </row>
    <row r="571">
      <c r="A571" s="23"/>
      <c r="J571" s="23"/>
      <c r="S571" s="23"/>
    </row>
    <row r="572">
      <c r="A572" s="23"/>
      <c r="J572" s="23"/>
      <c r="S572" s="23"/>
    </row>
    <row r="573">
      <c r="A573" s="23"/>
      <c r="J573" s="23"/>
      <c r="S573" s="23"/>
    </row>
    <row r="574">
      <c r="A574" s="23"/>
      <c r="J574" s="23"/>
      <c r="S574" s="23"/>
    </row>
    <row r="575">
      <c r="A575" s="23"/>
      <c r="J575" s="23"/>
      <c r="S575" s="23"/>
    </row>
    <row r="576">
      <c r="A576" s="23"/>
      <c r="J576" s="23"/>
      <c r="S576" s="23"/>
    </row>
    <row r="577">
      <c r="A577" s="23"/>
      <c r="J577" s="23"/>
      <c r="S577" s="23"/>
    </row>
    <row r="578">
      <c r="A578" s="23"/>
      <c r="J578" s="23"/>
      <c r="S578" s="23"/>
    </row>
    <row r="579">
      <c r="A579" s="23"/>
      <c r="J579" s="23"/>
      <c r="S579" s="23"/>
    </row>
    <row r="580">
      <c r="A580" s="23"/>
      <c r="J580" s="23"/>
      <c r="S580" s="23"/>
    </row>
    <row r="581">
      <c r="A581" s="23"/>
      <c r="J581" s="23"/>
      <c r="S581" s="23"/>
    </row>
    <row r="582">
      <c r="A582" s="23"/>
      <c r="J582" s="23"/>
      <c r="S582" s="23"/>
    </row>
    <row r="583">
      <c r="A583" s="23"/>
      <c r="J583" s="23"/>
      <c r="S583" s="23"/>
    </row>
    <row r="584">
      <c r="A584" s="23"/>
      <c r="J584" s="23"/>
      <c r="S584" s="23"/>
    </row>
    <row r="585">
      <c r="A585" s="23"/>
      <c r="J585" s="23"/>
      <c r="S585" s="23"/>
    </row>
    <row r="586">
      <c r="A586" s="23"/>
      <c r="J586" s="23"/>
      <c r="S586" s="23"/>
    </row>
    <row r="587">
      <c r="A587" s="23"/>
      <c r="J587" s="23"/>
      <c r="S587" s="23"/>
    </row>
    <row r="588">
      <c r="A588" s="23"/>
      <c r="J588" s="23"/>
      <c r="S588" s="23"/>
    </row>
    <row r="589">
      <c r="A589" s="23"/>
      <c r="J589" s="23"/>
      <c r="S589" s="23"/>
    </row>
    <row r="590">
      <c r="A590" s="23"/>
      <c r="J590" s="23"/>
      <c r="S590" s="23"/>
    </row>
    <row r="591">
      <c r="A591" s="23"/>
      <c r="J591" s="23"/>
      <c r="S591" s="23"/>
    </row>
    <row r="592">
      <c r="A592" s="23"/>
      <c r="J592" s="23"/>
      <c r="S592" s="23"/>
    </row>
    <row r="593">
      <c r="A593" s="23"/>
      <c r="J593" s="23"/>
      <c r="S593" s="23"/>
    </row>
    <row r="594">
      <c r="A594" s="23"/>
      <c r="J594" s="23"/>
      <c r="S594" s="23"/>
    </row>
    <row r="595">
      <c r="A595" s="23"/>
      <c r="J595" s="23"/>
      <c r="S595" s="23"/>
    </row>
    <row r="596">
      <c r="A596" s="23"/>
      <c r="J596" s="23"/>
      <c r="S596" s="23"/>
    </row>
    <row r="597">
      <c r="A597" s="23"/>
      <c r="J597" s="23"/>
      <c r="S597" s="23"/>
    </row>
    <row r="598">
      <c r="A598" s="23"/>
      <c r="J598" s="23"/>
      <c r="S598" s="23"/>
    </row>
    <row r="599">
      <c r="A599" s="23"/>
      <c r="J599" s="23"/>
      <c r="S599" s="23"/>
    </row>
    <row r="600">
      <c r="A600" s="23"/>
      <c r="J600" s="23"/>
      <c r="S600" s="23"/>
    </row>
    <row r="601">
      <c r="A601" s="23"/>
      <c r="J601" s="23"/>
      <c r="S601" s="23"/>
    </row>
    <row r="602">
      <c r="A602" s="23"/>
      <c r="J602" s="23"/>
      <c r="S602" s="23"/>
    </row>
    <row r="603">
      <c r="A603" s="23"/>
      <c r="J603" s="23"/>
      <c r="S603" s="23"/>
    </row>
    <row r="604">
      <c r="A604" s="23"/>
      <c r="J604" s="23"/>
      <c r="S604" s="23"/>
    </row>
    <row r="605">
      <c r="A605" s="23"/>
      <c r="J605" s="23"/>
      <c r="S605" s="23"/>
    </row>
    <row r="606">
      <c r="A606" s="23"/>
      <c r="J606" s="23"/>
      <c r="S606" s="23"/>
    </row>
    <row r="607">
      <c r="A607" s="23"/>
      <c r="J607" s="23"/>
      <c r="S607" s="23"/>
    </row>
    <row r="608">
      <c r="A608" s="23"/>
      <c r="J608" s="23"/>
      <c r="S608" s="23"/>
    </row>
    <row r="609">
      <c r="A609" s="23"/>
      <c r="J609" s="23"/>
      <c r="S609" s="23"/>
    </row>
    <row r="610">
      <c r="A610" s="23"/>
      <c r="J610" s="23"/>
      <c r="S610" s="23"/>
    </row>
    <row r="611">
      <c r="A611" s="23"/>
      <c r="J611" s="23"/>
      <c r="S611" s="23"/>
    </row>
    <row r="612">
      <c r="A612" s="23"/>
      <c r="J612" s="23"/>
      <c r="S612" s="23"/>
    </row>
    <row r="613">
      <c r="A613" s="23"/>
      <c r="J613" s="23"/>
      <c r="S613" s="23"/>
    </row>
    <row r="614">
      <c r="A614" s="23"/>
      <c r="J614" s="23"/>
      <c r="S614" s="23"/>
    </row>
    <row r="615">
      <c r="A615" s="23"/>
      <c r="J615" s="23"/>
      <c r="S615" s="23"/>
    </row>
    <row r="616">
      <c r="A616" s="23"/>
      <c r="J616" s="23"/>
      <c r="S616" s="23"/>
    </row>
    <row r="617">
      <c r="A617" s="23"/>
      <c r="J617" s="23"/>
      <c r="S617" s="23"/>
    </row>
    <row r="618">
      <c r="A618" s="23"/>
      <c r="J618" s="23"/>
      <c r="S618" s="23"/>
    </row>
    <row r="619">
      <c r="A619" s="23"/>
      <c r="J619" s="23"/>
      <c r="S619" s="23"/>
    </row>
    <row r="620">
      <c r="A620" s="23"/>
      <c r="J620" s="23"/>
      <c r="S620" s="23"/>
    </row>
    <row r="621">
      <c r="A621" s="23"/>
      <c r="J621" s="23"/>
      <c r="S621" s="23"/>
    </row>
    <row r="622">
      <c r="A622" s="23"/>
      <c r="J622" s="23"/>
      <c r="S622" s="23"/>
    </row>
    <row r="623">
      <c r="A623" s="23"/>
      <c r="J623" s="23"/>
      <c r="S623" s="23"/>
    </row>
    <row r="624">
      <c r="A624" s="23"/>
      <c r="J624" s="23"/>
      <c r="S624" s="23"/>
    </row>
    <row r="625">
      <c r="A625" s="23"/>
      <c r="J625" s="23"/>
      <c r="S625" s="23"/>
    </row>
    <row r="626">
      <c r="A626" s="23"/>
      <c r="J626" s="23"/>
      <c r="S626" s="23"/>
    </row>
    <row r="627">
      <c r="A627" s="23"/>
      <c r="J627" s="23"/>
      <c r="S627" s="23"/>
    </row>
    <row r="628">
      <c r="A628" s="23"/>
      <c r="J628" s="23"/>
      <c r="S628" s="23"/>
    </row>
    <row r="629">
      <c r="A629" s="23"/>
      <c r="J629" s="23"/>
      <c r="S629" s="23"/>
    </row>
    <row r="630">
      <c r="A630" s="23"/>
      <c r="J630" s="23"/>
      <c r="S630" s="23"/>
    </row>
    <row r="631">
      <c r="A631" s="23"/>
      <c r="J631" s="23"/>
      <c r="S631" s="23"/>
    </row>
    <row r="632">
      <c r="A632" s="23"/>
      <c r="J632" s="23"/>
      <c r="S632" s="23"/>
    </row>
    <row r="633">
      <c r="A633" s="23"/>
      <c r="J633" s="23"/>
      <c r="S633" s="23"/>
    </row>
    <row r="634">
      <c r="A634" s="23"/>
      <c r="J634" s="23"/>
      <c r="S634" s="23"/>
    </row>
    <row r="635">
      <c r="A635" s="23"/>
      <c r="J635" s="23"/>
      <c r="S635" s="23"/>
    </row>
    <row r="636">
      <c r="A636" s="23"/>
      <c r="J636" s="23"/>
      <c r="S636" s="23"/>
    </row>
    <row r="637">
      <c r="A637" s="23"/>
      <c r="J637" s="23"/>
      <c r="S637" s="23"/>
    </row>
    <row r="638">
      <c r="A638" s="23"/>
      <c r="J638" s="23"/>
      <c r="S638" s="23"/>
    </row>
    <row r="639">
      <c r="A639" s="23"/>
      <c r="J639" s="23"/>
      <c r="S639" s="23"/>
    </row>
    <row r="640">
      <c r="A640" s="23"/>
      <c r="J640" s="23"/>
      <c r="S640" s="23"/>
    </row>
    <row r="641">
      <c r="A641" s="23"/>
      <c r="J641" s="23"/>
      <c r="S641" s="23"/>
    </row>
    <row r="642">
      <c r="A642" s="23"/>
      <c r="J642" s="23"/>
      <c r="S642" s="23"/>
    </row>
    <row r="643">
      <c r="A643" s="23"/>
      <c r="J643" s="23"/>
      <c r="S643" s="23"/>
    </row>
    <row r="644">
      <c r="A644" s="23"/>
      <c r="J644" s="23"/>
      <c r="S644" s="23"/>
    </row>
    <row r="645">
      <c r="A645" s="23"/>
      <c r="J645" s="23"/>
      <c r="S645" s="23"/>
    </row>
    <row r="646">
      <c r="A646" s="23"/>
      <c r="J646" s="23"/>
      <c r="S646" s="23"/>
    </row>
    <row r="647">
      <c r="A647" s="23"/>
      <c r="J647" s="23"/>
      <c r="S647" s="23"/>
    </row>
    <row r="648">
      <c r="A648" s="23"/>
      <c r="J648" s="23"/>
      <c r="S648" s="23"/>
    </row>
    <row r="649">
      <c r="A649" s="23"/>
      <c r="J649" s="23"/>
      <c r="S649" s="23"/>
    </row>
    <row r="650">
      <c r="A650" s="23"/>
      <c r="J650" s="23"/>
      <c r="S650" s="23"/>
    </row>
    <row r="651">
      <c r="A651" s="23"/>
      <c r="J651" s="23"/>
      <c r="S651" s="23"/>
    </row>
    <row r="652">
      <c r="A652" s="23"/>
      <c r="J652" s="23"/>
      <c r="S652" s="23"/>
    </row>
    <row r="653">
      <c r="A653" s="23"/>
      <c r="J653" s="23"/>
      <c r="S653" s="23"/>
    </row>
    <row r="654">
      <c r="A654" s="23"/>
      <c r="J654" s="23"/>
      <c r="S654" s="23"/>
    </row>
    <row r="655">
      <c r="A655" s="23"/>
      <c r="J655" s="23"/>
      <c r="S655" s="23"/>
    </row>
    <row r="656">
      <c r="A656" s="23"/>
      <c r="J656" s="23"/>
      <c r="S656" s="23"/>
    </row>
    <row r="657">
      <c r="A657" s="23"/>
      <c r="J657" s="23"/>
      <c r="S657" s="23"/>
    </row>
    <row r="658">
      <c r="A658" s="23"/>
      <c r="J658" s="23"/>
      <c r="S658" s="23"/>
    </row>
    <row r="659">
      <c r="A659" s="23"/>
      <c r="J659" s="23"/>
      <c r="S659" s="23"/>
    </row>
    <row r="660">
      <c r="A660" s="23"/>
      <c r="J660" s="23"/>
      <c r="S660" s="23"/>
    </row>
    <row r="661">
      <c r="A661" s="23"/>
      <c r="J661" s="23"/>
      <c r="S661" s="23"/>
    </row>
    <row r="662">
      <c r="A662" s="23"/>
      <c r="J662" s="23"/>
      <c r="S662" s="23"/>
    </row>
    <row r="663">
      <c r="A663" s="23"/>
      <c r="J663" s="23"/>
      <c r="S663" s="23"/>
    </row>
    <row r="664">
      <c r="A664" s="23"/>
      <c r="J664" s="23"/>
      <c r="S664" s="23"/>
    </row>
    <row r="665">
      <c r="A665" s="23"/>
      <c r="J665" s="23"/>
      <c r="S665" s="23"/>
    </row>
    <row r="666">
      <c r="A666" s="23"/>
      <c r="J666" s="23"/>
      <c r="S666" s="23"/>
    </row>
    <row r="667">
      <c r="A667" s="23"/>
      <c r="J667" s="23"/>
      <c r="S667" s="23"/>
    </row>
    <row r="668">
      <c r="A668" s="23"/>
      <c r="J668" s="23"/>
      <c r="S668" s="23"/>
    </row>
    <row r="669">
      <c r="A669" s="23"/>
      <c r="J669" s="23"/>
      <c r="S669" s="23"/>
    </row>
    <row r="670">
      <c r="A670" s="23"/>
      <c r="J670" s="23"/>
      <c r="S670" s="23"/>
    </row>
    <row r="671">
      <c r="A671" s="23"/>
      <c r="J671" s="23"/>
      <c r="S671" s="23"/>
    </row>
    <row r="672">
      <c r="A672" s="23"/>
      <c r="J672" s="23"/>
      <c r="S672" s="23"/>
    </row>
    <row r="673">
      <c r="A673" s="23"/>
      <c r="J673" s="23"/>
      <c r="S673" s="23"/>
    </row>
    <row r="674">
      <c r="A674" s="23"/>
      <c r="J674" s="23"/>
      <c r="S674" s="23"/>
    </row>
    <row r="675">
      <c r="A675" s="23"/>
      <c r="J675" s="23"/>
      <c r="S675" s="23"/>
    </row>
    <row r="676">
      <c r="A676" s="23"/>
      <c r="J676" s="23"/>
      <c r="S676" s="23"/>
    </row>
    <row r="677">
      <c r="A677" s="23"/>
      <c r="J677" s="23"/>
      <c r="S677" s="23"/>
    </row>
    <row r="678">
      <c r="A678" s="23"/>
      <c r="J678" s="23"/>
      <c r="S678" s="23"/>
    </row>
    <row r="679">
      <c r="A679" s="23"/>
      <c r="J679" s="23"/>
      <c r="S679" s="23"/>
    </row>
    <row r="680">
      <c r="A680" s="23"/>
      <c r="J680" s="23"/>
      <c r="S680" s="23"/>
    </row>
    <row r="681">
      <c r="A681" s="23"/>
      <c r="J681" s="23"/>
      <c r="S681" s="23"/>
    </row>
    <row r="682">
      <c r="A682" s="23"/>
      <c r="J682" s="23"/>
      <c r="S682" s="23"/>
    </row>
    <row r="683">
      <c r="A683" s="23"/>
      <c r="J683" s="23"/>
      <c r="S683" s="23"/>
    </row>
    <row r="684">
      <c r="A684" s="23"/>
      <c r="J684" s="23"/>
      <c r="S684" s="23"/>
    </row>
    <row r="685">
      <c r="A685" s="23"/>
      <c r="J685" s="23"/>
      <c r="S685" s="23"/>
    </row>
    <row r="686">
      <c r="A686" s="23"/>
      <c r="J686" s="23"/>
      <c r="S686" s="23"/>
    </row>
    <row r="687">
      <c r="A687" s="23"/>
      <c r="J687" s="23"/>
      <c r="S687" s="23"/>
    </row>
    <row r="688">
      <c r="A688" s="23"/>
      <c r="J688" s="23"/>
      <c r="S688" s="23"/>
    </row>
    <row r="689">
      <c r="A689" s="23"/>
      <c r="J689" s="23"/>
      <c r="S689" s="23"/>
    </row>
    <row r="690">
      <c r="A690" s="23"/>
      <c r="J690" s="23"/>
      <c r="S690" s="23"/>
    </row>
    <row r="691">
      <c r="A691" s="23"/>
      <c r="J691" s="23"/>
      <c r="S691" s="23"/>
    </row>
    <row r="692">
      <c r="A692" s="23"/>
      <c r="J692" s="23"/>
      <c r="S692" s="23"/>
    </row>
    <row r="693">
      <c r="A693" s="23"/>
      <c r="J693" s="23"/>
      <c r="S693" s="23"/>
    </row>
    <row r="694">
      <c r="A694" s="23"/>
      <c r="J694" s="23"/>
      <c r="S694" s="23"/>
    </row>
    <row r="695">
      <c r="A695" s="23"/>
      <c r="J695" s="23"/>
      <c r="S695" s="23"/>
    </row>
    <row r="696">
      <c r="A696" s="23"/>
      <c r="J696" s="23"/>
      <c r="S696" s="23"/>
    </row>
    <row r="697">
      <c r="A697" s="23"/>
      <c r="J697" s="23"/>
      <c r="S697" s="23"/>
    </row>
    <row r="698">
      <c r="A698" s="23"/>
      <c r="J698" s="23"/>
      <c r="S698" s="23"/>
    </row>
    <row r="699">
      <c r="A699" s="23"/>
      <c r="J699" s="23"/>
      <c r="S699" s="23"/>
    </row>
    <row r="700">
      <c r="A700" s="23"/>
      <c r="J700" s="23"/>
      <c r="S700" s="23"/>
    </row>
    <row r="701">
      <c r="A701" s="23"/>
      <c r="J701" s="23"/>
      <c r="S701" s="23"/>
    </row>
    <row r="702">
      <c r="A702" s="23"/>
      <c r="J702" s="23"/>
      <c r="S702" s="23"/>
    </row>
    <row r="703">
      <c r="A703" s="23"/>
      <c r="J703" s="23"/>
      <c r="S703" s="23"/>
    </row>
    <row r="704">
      <c r="A704" s="23"/>
      <c r="J704" s="23"/>
      <c r="S704" s="23"/>
    </row>
    <row r="705">
      <c r="A705" s="23"/>
      <c r="J705" s="23"/>
      <c r="S705" s="23"/>
    </row>
    <row r="706">
      <c r="A706" s="23"/>
      <c r="J706" s="23"/>
      <c r="S706" s="23"/>
    </row>
    <row r="707">
      <c r="A707" s="23"/>
      <c r="J707" s="23"/>
      <c r="S707" s="23"/>
    </row>
    <row r="708">
      <c r="A708" s="23"/>
      <c r="J708" s="23"/>
      <c r="S708" s="23"/>
    </row>
    <row r="709">
      <c r="A709" s="23"/>
      <c r="J709" s="23"/>
      <c r="S709" s="23"/>
    </row>
    <row r="710">
      <c r="A710" s="23"/>
      <c r="J710" s="23"/>
      <c r="S710" s="23"/>
    </row>
    <row r="711">
      <c r="A711" s="23"/>
      <c r="J711" s="23"/>
      <c r="S711" s="23"/>
    </row>
    <row r="712">
      <c r="A712" s="23"/>
      <c r="J712" s="23"/>
      <c r="S712" s="23"/>
    </row>
    <row r="713">
      <c r="A713" s="23"/>
      <c r="J713" s="23"/>
      <c r="S713" s="23"/>
    </row>
    <row r="714">
      <c r="A714" s="23"/>
      <c r="J714" s="23"/>
      <c r="S714" s="23"/>
    </row>
    <row r="715">
      <c r="A715" s="23"/>
      <c r="J715" s="23"/>
      <c r="S715" s="23"/>
    </row>
    <row r="716">
      <c r="A716" s="23"/>
      <c r="J716" s="23"/>
      <c r="S716" s="23"/>
    </row>
    <row r="717">
      <c r="A717" s="23"/>
      <c r="J717" s="23"/>
      <c r="S717" s="23"/>
    </row>
    <row r="718">
      <c r="A718" s="23"/>
      <c r="J718" s="23"/>
      <c r="S718" s="23"/>
    </row>
    <row r="719">
      <c r="A719" s="23"/>
      <c r="J719" s="23"/>
      <c r="S719" s="23"/>
    </row>
    <row r="720">
      <c r="A720" s="23"/>
      <c r="J720" s="23"/>
      <c r="S720" s="23"/>
    </row>
    <row r="721">
      <c r="A721" s="23"/>
      <c r="J721" s="23"/>
      <c r="S721" s="23"/>
    </row>
    <row r="722">
      <c r="A722" s="23"/>
      <c r="J722" s="23"/>
      <c r="S722" s="23"/>
    </row>
    <row r="723">
      <c r="A723" s="23"/>
      <c r="J723" s="23"/>
      <c r="S723" s="23"/>
    </row>
    <row r="724">
      <c r="A724" s="23"/>
      <c r="J724" s="23"/>
      <c r="S724" s="23"/>
    </row>
    <row r="725">
      <c r="A725" s="23"/>
      <c r="J725" s="23"/>
      <c r="S725" s="23"/>
    </row>
    <row r="726">
      <c r="A726" s="23"/>
      <c r="J726" s="23"/>
      <c r="S726" s="23"/>
    </row>
    <row r="727">
      <c r="A727" s="23"/>
      <c r="J727" s="23"/>
      <c r="S727" s="23"/>
    </row>
    <row r="728">
      <c r="A728" s="23"/>
      <c r="J728" s="23"/>
      <c r="S728" s="23"/>
    </row>
    <row r="729">
      <c r="A729" s="23"/>
      <c r="J729" s="23"/>
      <c r="S729" s="23"/>
    </row>
    <row r="730">
      <c r="A730" s="23"/>
      <c r="J730" s="23"/>
      <c r="S730" s="23"/>
    </row>
    <row r="731">
      <c r="A731" s="23"/>
      <c r="J731" s="23"/>
      <c r="S731" s="23"/>
    </row>
    <row r="732">
      <c r="A732" s="23"/>
      <c r="J732" s="23"/>
      <c r="S732" s="23"/>
    </row>
    <row r="733">
      <c r="A733" s="23"/>
      <c r="J733" s="23"/>
      <c r="S733" s="23"/>
    </row>
    <row r="734">
      <c r="A734" s="23"/>
      <c r="J734" s="23"/>
      <c r="S734" s="23"/>
    </row>
    <row r="735">
      <c r="A735" s="23"/>
      <c r="J735" s="23"/>
      <c r="S735" s="23"/>
    </row>
    <row r="736">
      <c r="A736" s="23"/>
      <c r="J736" s="23"/>
      <c r="S736" s="23"/>
    </row>
    <row r="737">
      <c r="A737" s="23"/>
      <c r="J737" s="23"/>
      <c r="S737" s="23"/>
    </row>
    <row r="738">
      <c r="A738" s="23"/>
      <c r="J738" s="23"/>
      <c r="S738" s="23"/>
    </row>
    <row r="739">
      <c r="A739" s="23"/>
      <c r="J739" s="23"/>
      <c r="S739" s="23"/>
    </row>
    <row r="740">
      <c r="A740" s="23"/>
      <c r="J740" s="23"/>
      <c r="S740" s="23"/>
    </row>
    <row r="741">
      <c r="A741" s="23"/>
      <c r="J741" s="23"/>
      <c r="S741" s="23"/>
    </row>
    <row r="742">
      <c r="A742" s="23"/>
      <c r="J742" s="23"/>
      <c r="S742" s="23"/>
    </row>
    <row r="743">
      <c r="A743" s="23"/>
      <c r="J743" s="23"/>
      <c r="S743" s="23"/>
    </row>
    <row r="744">
      <c r="A744" s="23"/>
      <c r="J744" s="23"/>
      <c r="S744" s="23"/>
    </row>
    <row r="745">
      <c r="A745" s="23"/>
      <c r="J745" s="23"/>
      <c r="S745" s="23"/>
    </row>
    <row r="746">
      <c r="A746" s="23"/>
      <c r="J746" s="23"/>
      <c r="S746" s="23"/>
    </row>
    <row r="747">
      <c r="A747" s="23"/>
      <c r="J747" s="23"/>
      <c r="S747" s="23"/>
    </row>
    <row r="748">
      <c r="A748" s="23"/>
      <c r="J748" s="23"/>
      <c r="S748" s="23"/>
    </row>
    <row r="749">
      <c r="A749" s="23"/>
      <c r="J749" s="23"/>
      <c r="S749" s="23"/>
    </row>
    <row r="750">
      <c r="A750" s="23"/>
      <c r="J750" s="23"/>
      <c r="S750" s="23"/>
    </row>
    <row r="751">
      <c r="A751" s="23"/>
      <c r="J751" s="23"/>
      <c r="S751" s="23"/>
    </row>
    <row r="752">
      <c r="A752" s="23"/>
      <c r="J752" s="23"/>
      <c r="S752" s="23"/>
    </row>
    <row r="753">
      <c r="A753" s="23"/>
      <c r="J753" s="23"/>
      <c r="S753" s="23"/>
    </row>
    <row r="754">
      <c r="A754" s="23"/>
      <c r="J754" s="23"/>
      <c r="S754" s="23"/>
    </row>
    <row r="755">
      <c r="A755" s="23"/>
      <c r="J755" s="23"/>
      <c r="S755" s="23"/>
    </row>
    <row r="756">
      <c r="A756" s="23"/>
      <c r="J756" s="23"/>
      <c r="S756" s="23"/>
    </row>
    <row r="757">
      <c r="A757" s="23"/>
      <c r="J757" s="23"/>
      <c r="S757" s="23"/>
    </row>
    <row r="758">
      <c r="A758" s="23"/>
      <c r="J758" s="23"/>
      <c r="S758" s="23"/>
    </row>
    <row r="759">
      <c r="A759" s="23"/>
      <c r="J759" s="23"/>
      <c r="S759" s="23"/>
    </row>
    <row r="760">
      <c r="A760" s="23"/>
      <c r="J760" s="23"/>
      <c r="S760" s="23"/>
    </row>
    <row r="761">
      <c r="A761" s="23"/>
      <c r="J761" s="23"/>
      <c r="S761" s="23"/>
    </row>
    <row r="762">
      <c r="A762" s="23"/>
      <c r="J762" s="23"/>
      <c r="S762" s="23"/>
    </row>
    <row r="763">
      <c r="A763" s="23"/>
      <c r="J763" s="23"/>
      <c r="S763" s="23"/>
    </row>
    <row r="764">
      <c r="A764" s="23"/>
      <c r="J764" s="23"/>
      <c r="S764" s="23"/>
    </row>
    <row r="765">
      <c r="A765" s="23"/>
      <c r="J765" s="23"/>
      <c r="S765" s="23"/>
    </row>
    <row r="766">
      <c r="A766" s="23"/>
      <c r="J766" s="23"/>
      <c r="S766" s="23"/>
    </row>
    <row r="767">
      <c r="A767" s="23"/>
      <c r="J767" s="23"/>
      <c r="S767" s="23"/>
    </row>
    <row r="768">
      <c r="A768" s="23"/>
      <c r="J768" s="23"/>
      <c r="S768" s="23"/>
    </row>
    <row r="769">
      <c r="A769" s="23"/>
      <c r="J769" s="23"/>
      <c r="S769" s="23"/>
    </row>
    <row r="770">
      <c r="A770" s="23"/>
      <c r="J770" s="23"/>
      <c r="S770" s="23"/>
    </row>
    <row r="771">
      <c r="A771" s="23"/>
      <c r="J771" s="23"/>
      <c r="S771" s="23"/>
    </row>
    <row r="772">
      <c r="A772" s="23"/>
      <c r="J772" s="23"/>
      <c r="S772" s="23"/>
    </row>
    <row r="773">
      <c r="A773" s="23"/>
      <c r="J773" s="23"/>
      <c r="S773" s="23"/>
    </row>
    <row r="774">
      <c r="A774" s="23"/>
      <c r="J774" s="23"/>
      <c r="S774" s="23"/>
    </row>
    <row r="775">
      <c r="A775" s="23"/>
      <c r="J775" s="23"/>
      <c r="S775" s="23"/>
    </row>
    <row r="776">
      <c r="A776" s="23"/>
      <c r="J776" s="23"/>
      <c r="S776" s="23"/>
    </row>
    <row r="777">
      <c r="A777" s="23"/>
      <c r="J777" s="23"/>
      <c r="S777" s="23"/>
    </row>
    <row r="778">
      <c r="A778" s="23"/>
      <c r="J778" s="23"/>
      <c r="S778" s="23"/>
    </row>
    <row r="779">
      <c r="A779" s="23"/>
      <c r="J779" s="23"/>
      <c r="S779" s="23"/>
    </row>
    <row r="780">
      <c r="A780" s="23"/>
      <c r="J780" s="23"/>
      <c r="S780" s="23"/>
    </row>
    <row r="781">
      <c r="A781" s="23"/>
      <c r="J781" s="23"/>
      <c r="S781" s="23"/>
    </row>
    <row r="782">
      <c r="A782" s="23"/>
      <c r="J782" s="23"/>
      <c r="S782" s="23"/>
    </row>
    <row r="783">
      <c r="A783" s="23"/>
      <c r="J783" s="23"/>
      <c r="S783" s="23"/>
    </row>
    <row r="784">
      <c r="A784" s="23"/>
      <c r="J784" s="23"/>
      <c r="S784" s="23"/>
    </row>
    <row r="785">
      <c r="A785" s="23"/>
      <c r="J785" s="23"/>
      <c r="S785" s="23"/>
    </row>
    <row r="786">
      <c r="A786" s="23"/>
      <c r="J786" s="23"/>
      <c r="S786" s="23"/>
    </row>
    <row r="787">
      <c r="A787" s="23"/>
      <c r="J787" s="23"/>
      <c r="S787" s="23"/>
    </row>
    <row r="788">
      <c r="A788" s="23"/>
      <c r="J788" s="23"/>
      <c r="S788" s="23"/>
    </row>
    <row r="789">
      <c r="A789" s="23"/>
      <c r="J789" s="23"/>
      <c r="S789" s="23"/>
    </row>
    <row r="790">
      <c r="A790" s="23"/>
      <c r="J790" s="23"/>
      <c r="S790" s="23"/>
    </row>
    <row r="791">
      <c r="A791" s="23"/>
      <c r="J791" s="23"/>
      <c r="S791" s="23"/>
    </row>
    <row r="792">
      <c r="A792" s="23"/>
      <c r="J792" s="23"/>
      <c r="S792" s="23"/>
    </row>
    <row r="793">
      <c r="A793" s="23"/>
      <c r="J793" s="23"/>
      <c r="S793" s="23"/>
    </row>
    <row r="794">
      <c r="A794" s="23"/>
      <c r="J794" s="23"/>
      <c r="S794" s="23"/>
    </row>
    <row r="795">
      <c r="A795" s="23"/>
      <c r="J795" s="23"/>
      <c r="S795" s="23"/>
    </row>
    <row r="796">
      <c r="A796" s="23"/>
      <c r="J796" s="23"/>
      <c r="S796" s="23"/>
    </row>
    <row r="797">
      <c r="A797" s="23"/>
      <c r="J797" s="23"/>
      <c r="S797" s="23"/>
    </row>
    <row r="798">
      <c r="A798" s="23"/>
      <c r="J798" s="23"/>
      <c r="S798" s="23"/>
    </row>
    <row r="799">
      <c r="A799" s="23"/>
      <c r="J799" s="23"/>
      <c r="S799" s="23"/>
    </row>
    <row r="800">
      <c r="A800" s="23"/>
      <c r="J800" s="23"/>
      <c r="S800" s="23"/>
    </row>
    <row r="801">
      <c r="A801" s="23"/>
      <c r="J801" s="23"/>
      <c r="S801" s="23"/>
    </row>
    <row r="802">
      <c r="A802" s="23"/>
      <c r="J802" s="23"/>
      <c r="S802" s="23"/>
    </row>
    <row r="803">
      <c r="A803" s="23"/>
      <c r="J803" s="23"/>
      <c r="S803" s="23"/>
    </row>
    <row r="804">
      <c r="A804" s="23"/>
      <c r="J804" s="23"/>
      <c r="S804" s="23"/>
    </row>
    <row r="805">
      <c r="A805" s="23"/>
      <c r="J805" s="23"/>
      <c r="S805" s="23"/>
    </row>
    <row r="806">
      <c r="A806" s="23"/>
      <c r="J806" s="23"/>
      <c r="S806" s="23"/>
    </row>
    <row r="807">
      <c r="A807" s="23"/>
      <c r="J807" s="23"/>
      <c r="S807" s="23"/>
    </row>
    <row r="808">
      <c r="A808" s="23"/>
      <c r="J808" s="23"/>
      <c r="S808" s="23"/>
    </row>
    <row r="809">
      <c r="A809" s="23"/>
      <c r="J809" s="23"/>
      <c r="S809" s="23"/>
    </row>
    <row r="810">
      <c r="A810" s="23"/>
      <c r="J810" s="23"/>
      <c r="S810" s="23"/>
    </row>
    <row r="811">
      <c r="A811" s="23"/>
      <c r="J811" s="23"/>
      <c r="S811" s="23"/>
    </row>
    <row r="812">
      <c r="A812" s="23"/>
      <c r="J812" s="23"/>
      <c r="S812" s="23"/>
    </row>
    <row r="813">
      <c r="A813" s="23"/>
      <c r="J813" s="23"/>
      <c r="S813" s="23"/>
    </row>
    <row r="814">
      <c r="A814" s="23"/>
      <c r="J814" s="23"/>
      <c r="S814" s="23"/>
    </row>
    <row r="815">
      <c r="A815" s="23"/>
      <c r="J815" s="23"/>
      <c r="S815" s="23"/>
    </row>
    <row r="816">
      <c r="A816" s="23"/>
      <c r="J816" s="23"/>
      <c r="S816" s="23"/>
    </row>
    <row r="817">
      <c r="A817" s="23"/>
      <c r="J817" s="23"/>
      <c r="S817" s="23"/>
    </row>
    <row r="818">
      <c r="A818" s="23"/>
      <c r="J818" s="23"/>
      <c r="S818" s="23"/>
    </row>
    <row r="819">
      <c r="A819" s="23"/>
      <c r="J819" s="23"/>
      <c r="S819" s="23"/>
    </row>
    <row r="820">
      <c r="A820" s="23"/>
      <c r="J820" s="23"/>
      <c r="S820" s="23"/>
    </row>
    <row r="821">
      <c r="A821" s="23"/>
      <c r="J821" s="23"/>
      <c r="S821" s="23"/>
    </row>
    <row r="822">
      <c r="A822" s="23"/>
      <c r="J822" s="23"/>
      <c r="S822" s="23"/>
    </row>
    <row r="823">
      <c r="A823" s="23"/>
      <c r="J823" s="23"/>
      <c r="S823" s="23"/>
    </row>
    <row r="824">
      <c r="A824" s="23"/>
      <c r="J824" s="23"/>
      <c r="S824" s="23"/>
    </row>
    <row r="825">
      <c r="A825" s="23"/>
      <c r="J825" s="23"/>
      <c r="S825" s="23"/>
    </row>
    <row r="826">
      <c r="A826" s="23"/>
      <c r="J826" s="23"/>
      <c r="S826" s="23"/>
    </row>
    <row r="827">
      <c r="A827" s="23"/>
      <c r="J827" s="23"/>
      <c r="S827" s="23"/>
    </row>
    <row r="828">
      <c r="A828" s="23"/>
      <c r="J828" s="23"/>
      <c r="S828" s="23"/>
    </row>
    <row r="829">
      <c r="A829" s="23"/>
      <c r="J829" s="23"/>
      <c r="S829" s="23"/>
    </row>
    <row r="830">
      <c r="A830" s="23"/>
      <c r="J830" s="23"/>
      <c r="S830" s="23"/>
    </row>
    <row r="831">
      <c r="A831" s="23"/>
      <c r="J831" s="23"/>
      <c r="S831" s="23"/>
    </row>
    <row r="832">
      <c r="A832" s="23"/>
      <c r="J832" s="23"/>
      <c r="S832" s="23"/>
    </row>
    <row r="833">
      <c r="A833" s="23"/>
      <c r="J833" s="23"/>
      <c r="S833" s="23"/>
    </row>
    <row r="834">
      <c r="A834" s="23"/>
      <c r="J834" s="23"/>
      <c r="S834" s="23"/>
    </row>
    <row r="835">
      <c r="A835" s="23"/>
      <c r="J835" s="23"/>
      <c r="S835" s="23"/>
    </row>
    <row r="836">
      <c r="A836" s="23"/>
      <c r="J836" s="23"/>
      <c r="S836" s="23"/>
    </row>
    <row r="837">
      <c r="A837" s="23"/>
      <c r="J837" s="23"/>
      <c r="S837" s="23"/>
    </row>
    <row r="838">
      <c r="A838" s="23"/>
      <c r="J838" s="23"/>
      <c r="S838" s="23"/>
    </row>
    <row r="839">
      <c r="A839" s="23"/>
      <c r="J839" s="23"/>
      <c r="S839" s="23"/>
    </row>
    <row r="840">
      <c r="A840" s="23"/>
      <c r="J840" s="23"/>
      <c r="S840" s="23"/>
    </row>
    <row r="841">
      <c r="A841" s="23"/>
      <c r="J841" s="23"/>
      <c r="S841" s="23"/>
    </row>
    <row r="842">
      <c r="A842" s="23"/>
      <c r="J842" s="23"/>
      <c r="S842" s="23"/>
    </row>
    <row r="843">
      <c r="A843" s="23"/>
      <c r="J843" s="23"/>
      <c r="S843" s="23"/>
    </row>
    <row r="844">
      <c r="A844" s="23"/>
      <c r="J844" s="23"/>
      <c r="S844" s="23"/>
    </row>
    <row r="845">
      <c r="A845" s="23"/>
      <c r="J845" s="23"/>
      <c r="S845" s="23"/>
    </row>
    <row r="846">
      <c r="A846" s="23"/>
      <c r="J846" s="23"/>
      <c r="S846" s="23"/>
    </row>
    <row r="847">
      <c r="A847" s="23"/>
      <c r="J847" s="23"/>
      <c r="S847" s="23"/>
    </row>
    <row r="848">
      <c r="A848" s="23"/>
      <c r="J848" s="23"/>
      <c r="S848" s="23"/>
    </row>
    <row r="849">
      <c r="A849" s="23"/>
      <c r="J849" s="23"/>
      <c r="S849" s="23"/>
    </row>
    <row r="850">
      <c r="A850" s="23"/>
      <c r="J850" s="23"/>
      <c r="S850" s="23"/>
    </row>
    <row r="851">
      <c r="A851" s="23"/>
      <c r="J851" s="23"/>
      <c r="S851" s="23"/>
    </row>
    <row r="852">
      <c r="A852" s="23"/>
      <c r="J852" s="23"/>
      <c r="S852" s="23"/>
    </row>
    <row r="853">
      <c r="A853" s="23"/>
      <c r="J853" s="23"/>
      <c r="S853" s="23"/>
    </row>
    <row r="854">
      <c r="A854" s="23"/>
      <c r="J854" s="23"/>
      <c r="S854" s="23"/>
    </row>
    <row r="855">
      <c r="A855" s="23"/>
      <c r="J855" s="23"/>
      <c r="S855" s="23"/>
    </row>
    <row r="856">
      <c r="A856" s="23"/>
      <c r="J856" s="23"/>
      <c r="S856" s="23"/>
    </row>
    <row r="857">
      <c r="A857" s="23"/>
      <c r="J857" s="23"/>
      <c r="S857" s="23"/>
    </row>
    <row r="858">
      <c r="A858" s="23"/>
      <c r="J858" s="23"/>
      <c r="S858" s="23"/>
    </row>
    <row r="859">
      <c r="A859" s="23"/>
      <c r="J859" s="23"/>
      <c r="S859" s="23"/>
    </row>
    <row r="860">
      <c r="A860" s="23"/>
      <c r="J860" s="23"/>
      <c r="S860" s="23"/>
    </row>
    <row r="861">
      <c r="A861" s="23"/>
      <c r="J861" s="23"/>
      <c r="S861" s="23"/>
    </row>
    <row r="862">
      <c r="A862" s="23"/>
      <c r="J862" s="23"/>
      <c r="S862" s="23"/>
    </row>
    <row r="863">
      <c r="A863" s="23"/>
      <c r="J863" s="23"/>
      <c r="S863" s="23"/>
    </row>
    <row r="864">
      <c r="A864" s="23"/>
      <c r="J864" s="23"/>
      <c r="S864" s="23"/>
    </row>
    <row r="865">
      <c r="A865" s="23"/>
      <c r="J865" s="23"/>
      <c r="S865" s="23"/>
    </row>
    <row r="866">
      <c r="A866" s="23"/>
      <c r="J866" s="23"/>
      <c r="S866" s="23"/>
    </row>
    <row r="867">
      <c r="A867" s="23"/>
      <c r="J867" s="23"/>
      <c r="S867" s="23"/>
    </row>
    <row r="868">
      <c r="A868" s="23"/>
      <c r="J868" s="23"/>
      <c r="S868" s="23"/>
    </row>
    <row r="869">
      <c r="A869" s="23"/>
      <c r="J869" s="23"/>
      <c r="S869" s="23"/>
    </row>
    <row r="870">
      <c r="A870" s="23"/>
      <c r="J870" s="23"/>
      <c r="S870" s="23"/>
    </row>
    <row r="871">
      <c r="A871" s="23"/>
      <c r="J871" s="23"/>
      <c r="S871" s="23"/>
    </row>
    <row r="872">
      <c r="A872" s="23"/>
      <c r="J872" s="23"/>
      <c r="S872" s="23"/>
    </row>
    <row r="873">
      <c r="A873" s="23"/>
      <c r="J873" s="23"/>
      <c r="S873" s="23"/>
    </row>
    <row r="874">
      <c r="A874" s="23"/>
      <c r="J874" s="23"/>
      <c r="S874" s="23"/>
    </row>
    <row r="875">
      <c r="A875" s="23"/>
      <c r="J875" s="23"/>
      <c r="S875" s="23"/>
    </row>
    <row r="876">
      <c r="A876" s="23"/>
      <c r="J876" s="23"/>
      <c r="S876" s="23"/>
    </row>
    <row r="877">
      <c r="A877" s="23"/>
      <c r="J877" s="23"/>
      <c r="S877" s="23"/>
    </row>
    <row r="878">
      <c r="A878" s="23"/>
      <c r="J878" s="23"/>
      <c r="S878" s="23"/>
    </row>
    <row r="879">
      <c r="A879" s="23"/>
      <c r="J879" s="23"/>
      <c r="S879" s="23"/>
    </row>
    <row r="880">
      <c r="A880" s="23"/>
      <c r="J880" s="23"/>
      <c r="S880" s="23"/>
    </row>
    <row r="881">
      <c r="A881" s="23"/>
      <c r="J881" s="23"/>
      <c r="S881" s="23"/>
    </row>
    <row r="882">
      <c r="A882" s="23"/>
      <c r="J882" s="23"/>
      <c r="S882" s="23"/>
    </row>
    <row r="883">
      <c r="A883" s="23"/>
      <c r="J883" s="23"/>
      <c r="S883" s="23"/>
    </row>
    <row r="884">
      <c r="A884" s="23"/>
      <c r="J884" s="23"/>
      <c r="S884" s="23"/>
    </row>
    <row r="885">
      <c r="A885" s="23"/>
      <c r="J885" s="23"/>
      <c r="S885" s="23"/>
    </row>
    <row r="886">
      <c r="A886" s="23"/>
      <c r="J886" s="23"/>
      <c r="S886" s="23"/>
    </row>
    <row r="887">
      <c r="A887" s="23"/>
      <c r="J887" s="23"/>
      <c r="S887" s="23"/>
    </row>
    <row r="888">
      <c r="A888" s="23"/>
      <c r="J888" s="23"/>
      <c r="S888" s="23"/>
    </row>
    <row r="889">
      <c r="A889" s="23"/>
      <c r="J889" s="23"/>
      <c r="S889" s="23"/>
    </row>
    <row r="890">
      <c r="A890" s="23"/>
      <c r="J890" s="23"/>
      <c r="S890" s="23"/>
    </row>
    <row r="891">
      <c r="A891" s="23"/>
      <c r="J891" s="23"/>
      <c r="S891" s="23"/>
    </row>
    <row r="892">
      <c r="A892" s="23"/>
      <c r="J892" s="23"/>
      <c r="S892" s="23"/>
    </row>
    <row r="893">
      <c r="A893" s="23"/>
      <c r="J893" s="23"/>
      <c r="S893" s="23"/>
    </row>
    <row r="894">
      <c r="A894" s="23"/>
      <c r="J894" s="23"/>
      <c r="S894" s="23"/>
    </row>
    <row r="895">
      <c r="A895" s="23"/>
      <c r="J895" s="23"/>
      <c r="S895" s="23"/>
    </row>
    <row r="896">
      <c r="A896" s="23"/>
      <c r="J896" s="23"/>
      <c r="S896" s="23"/>
    </row>
    <row r="897">
      <c r="A897" s="23"/>
      <c r="J897" s="23"/>
      <c r="S897" s="23"/>
    </row>
    <row r="898">
      <c r="A898" s="23"/>
      <c r="J898" s="23"/>
      <c r="S898" s="23"/>
    </row>
    <row r="899">
      <c r="A899" s="23"/>
      <c r="J899" s="23"/>
      <c r="S899" s="23"/>
    </row>
    <row r="900">
      <c r="A900" s="23"/>
      <c r="J900" s="23"/>
      <c r="S900" s="23"/>
    </row>
    <row r="901">
      <c r="A901" s="23"/>
      <c r="J901" s="23"/>
      <c r="S901" s="23"/>
    </row>
    <row r="902">
      <c r="A902" s="23"/>
      <c r="J902" s="23"/>
      <c r="S902" s="23"/>
    </row>
    <row r="903">
      <c r="A903" s="23"/>
      <c r="J903" s="23"/>
      <c r="S903" s="23"/>
    </row>
    <row r="904">
      <c r="A904" s="23"/>
      <c r="J904" s="23"/>
      <c r="S904" s="23"/>
    </row>
    <row r="905">
      <c r="A905" s="23"/>
      <c r="J905" s="23"/>
      <c r="S905" s="23"/>
    </row>
    <row r="906">
      <c r="A906" s="23"/>
      <c r="J906" s="23"/>
      <c r="S906" s="23"/>
    </row>
    <row r="907">
      <c r="A907" s="23"/>
      <c r="J907" s="23"/>
      <c r="S907" s="23"/>
    </row>
    <row r="908">
      <c r="A908" s="23"/>
      <c r="J908" s="23"/>
      <c r="S908" s="23"/>
    </row>
    <row r="909">
      <c r="A909" s="23"/>
      <c r="J909" s="23"/>
      <c r="S909" s="23"/>
    </row>
    <row r="910">
      <c r="A910" s="23"/>
      <c r="J910" s="23"/>
      <c r="S910" s="23"/>
    </row>
    <row r="911">
      <c r="A911" s="23"/>
      <c r="J911" s="23"/>
      <c r="S911" s="23"/>
    </row>
    <row r="912">
      <c r="A912" s="23"/>
      <c r="J912" s="23"/>
      <c r="S912" s="23"/>
    </row>
    <row r="913">
      <c r="A913" s="23"/>
      <c r="J913" s="23"/>
      <c r="S913" s="23"/>
    </row>
    <row r="914">
      <c r="A914" s="23"/>
      <c r="J914" s="23"/>
      <c r="S914" s="23"/>
    </row>
    <row r="915">
      <c r="A915" s="23"/>
      <c r="J915" s="23"/>
      <c r="S915" s="23"/>
    </row>
    <row r="916">
      <c r="A916" s="23"/>
      <c r="J916" s="23"/>
      <c r="S916" s="23"/>
    </row>
    <row r="917">
      <c r="A917" s="23"/>
      <c r="J917" s="23"/>
      <c r="S917" s="23"/>
    </row>
    <row r="918">
      <c r="A918" s="23"/>
      <c r="J918" s="23"/>
      <c r="S918" s="23"/>
    </row>
    <row r="919">
      <c r="A919" s="23"/>
      <c r="J919" s="23"/>
      <c r="S919" s="23"/>
    </row>
    <row r="920">
      <c r="A920" s="23"/>
      <c r="J920" s="23"/>
      <c r="S920" s="23"/>
    </row>
    <row r="921">
      <c r="A921" s="23"/>
      <c r="J921" s="23"/>
      <c r="S921" s="23"/>
    </row>
    <row r="922">
      <c r="A922" s="23"/>
      <c r="J922" s="23"/>
      <c r="S922" s="23"/>
    </row>
    <row r="923">
      <c r="A923" s="23"/>
      <c r="J923" s="23"/>
      <c r="S923" s="23"/>
    </row>
    <row r="924">
      <c r="A924" s="23"/>
      <c r="J924" s="23"/>
      <c r="S924" s="23"/>
    </row>
    <row r="925">
      <c r="A925" s="23"/>
      <c r="J925" s="23"/>
      <c r="S925" s="23"/>
    </row>
    <row r="926">
      <c r="A926" s="23"/>
      <c r="J926" s="23"/>
      <c r="S926" s="23"/>
    </row>
    <row r="927">
      <c r="A927" s="23"/>
      <c r="J927" s="23"/>
      <c r="S927" s="23"/>
    </row>
    <row r="928">
      <c r="A928" s="23"/>
      <c r="J928" s="23"/>
      <c r="S928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</cols>
  <sheetData>
    <row r="1">
      <c r="A1" s="1" t="s">
        <v>0</v>
      </c>
      <c r="B1" s="35" t="s">
        <v>9</v>
      </c>
      <c r="C1" s="36" t="s">
        <v>15</v>
      </c>
      <c r="D1" s="3" t="s">
        <v>22</v>
      </c>
      <c r="F1" s="37" t="s">
        <v>23</v>
      </c>
      <c r="G1" s="37" t="s">
        <v>24</v>
      </c>
      <c r="H1" s="38" t="s">
        <v>25</v>
      </c>
      <c r="J1" s="39" t="s">
        <v>23</v>
      </c>
      <c r="K1" s="39" t="s">
        <v>24</v>
      </c>
      <c r="L1" s="40" t="s">
        <v>25</v>
      </c>
    </row>
    <row r="2">
      <c r="A2" s="7">
        <v>46091.0</v>
      </c>
      <c r="B2" s="41">
        <f>VLOOKUP(A2,'raw data'!J:P,6,0)</f>
        <v>120.74</v>
      </c>
      <c r="C2" s="41">
        <f>VLOOKUP(A2,'raw data'!S:Y,6,0)</f>
        <v>125.12</v>
      </c>
      <c r="D2" s="42">
        <f>VLOOKUP(A2,'raw data'!A:G,6,0)</f>
        <v>6781.48</v>
      </c>
      <c r="F2" s="43">
        <f t="shared" ref="F2:H2" si="1">B2/B3-1</f>
        <v>0.004994173464</v>
      </c>
      <c r="G2" s="43">
        <f t="shared" si="1"/>
        <v>0.006273122085</v>
      </c>
      <c r="H2" s="43">
        <f t="shared" si="1"/>
        <v>-0.0021350826</v>
      </c>
      <c r="J2" s="43">
        <f t="shared" ref="J2:L2" si="2">LN(B2/B3)</f>
        <v>0.004981743946</v>
      </c>
      <c r="K2" s="43">
        <f t="shared" si="2"/>
        <v>0.006253527956</v>
      </c>
      <c r="L2" s="43">
        <f t="shared" si="2"/>
        <v>-0.002137365139</v>
      </c>
    </row>
    <row r="3">
      <c r="A3" s="13">
        <v>46090.0</v>
      </c>
      <c r="B3" s="41">
        <f>VLOOKUP(A3,'raw data'!J:P,6,0)</f>
        <v>120.14</v>
      </c>
      <c r="C3" s="41">
        <f>VLOOKUP(A3,'raw data'!S:Y,6,0)</f>
        <v>124.34</v>
      </c>
      <c r="D3" s="42">
        <f>VLOOKUP(A3,'raw data'!A:G,6,0)</f>
        <v>6795.99</v>
      </c>
      <c r="F3" s="43">
        <f t="shared" ref="F3:H3" si="3">B3/B4-1</f>
        <v>-0.005381240169</v>
      </c>
      <c r="G3" s="43">
        <f t="shared" si="3"/>
        <v>0.00436187399</v>
      </c>
      <c r="H3" s="43">
        <f t="shared" si="3"/>
        <v>0.008304129661</v>
      </c>
      <c r="J3" s="43">
        <f t="shared" ref="J3:L3" si="4">LN(B3/B4)</f>
        <v>-0.005395771195</v>
      </c>
      <c r="K3" s="43">
        <f t="shared" si="4"/>
        <v>0.004352388591</v>
      </c>
      <c r="L3" s="43">
        <f t="shared" si="4"/>
        <v>0.008269840076</v>
      </c>
    </row>
    <row r="4">
      <c r="A4" s="7">
        <v>46083.0</v>
      </c>
      <c r="B4" s="41">
        <f>VLOOKUP(A4,'raw data'!J:P,6,0)</f>
        <v>120.79</v>
      </c>
      <c r="C4" s="41">
        <f>VLOOKUP(A4,'raw data'!S:Y,6,0)</f>
        <v>123.8</v>
      </c>
      <c r="D4" s="42">
        <f>VLOOKUP(A4,'raw data'!A:G,6,0)</f>
        <v>6740.02</v>
      </c>
      <c r="F4" s="43">
        <f t="shared" ref="F4:H4" si="5">B4/B5-1</f>
        <v>0.06151682925</v>
      </c>
      <c r="G4" s="43">
        <f t="shared" si="5"/>
        <v>-0.03243454474</v>
      </c>
      <c r="H4" s="43">
        <f t="shared" si="5"/>
        <v>-0.0201864257</v>
      </c>
      <c r="J4" s="43">
        <f t="shared" ref="J4:L4" si="6">LN(B4/B5)</f>
        <v>0.05969885625</v>
      </c>
      <c r="K4" s="43">
        <f t="shared" si="6"/>
        <v>-0.03297220236</v>
      </c>
      <c r="L4" s="43">
        <f t="shared" si="6"/>
        <v>-0.02039295572</v>
      </c>
    </row>
    <row r="5">
      <c r="A5" s="13">
        <v>46076.0</v>
      </c>
      <c r="B5" s="41">
        <f>VLOOKUP(A5,'raw data'!J:P,6,0)</f>
        <v>113.79</v>
      </c>
      <c r="C5" s="41">
        <f>VLOOKUP(A5,'raw data'!S:Y,6,0)</f>
        <v>127.95</v>
      </c>
      <c r="D5" s="42">
        <f>VLOOKUP(A5,'raw data'!A:G,6,0)</f>
        <v>6878.88</v>
      </c>
      <c r="F5" s="43">
        <f t="shared" ref="F5:H5" si="7">B5/B6-1</f>
        <v>-0.02485217242</v>
      </c>
      <c r="G5" s="43">
        <f t="shared" si="7"/>
        <v>0.04032848199</v>
      </c>
      <c r="H5" s="43">
        <f t="shared" si="7"/>
        <v>-0.004433020576</v>
      </c>
      <c r="J5" s="43">
        <f t="shared" ref="J5:L5" si="8">LN(B5/B6)</f>
        <v>-0.02516620145</v>
      </c>
      <c r="K5" s="43">
        <f t="shared" si="8"/>
        <v>0.03953651135</v>
      </c>
      <c r="L5" s="43">
        <f t="shared" si="8"/>
        <v>-0.004442875547</v>
      </c>
    </row>
    <row r="6">
      <c r="A6" s="7">
        <v>46069.0</v>
      </c>
      <c r="B6" s="41">
        <f>VLOOKUP(A6,'raw data'!J:P,6,0)</f>
        <v>116.69</v>
      </c>
      <c r="C6" s="41">
        <f>VLOOKUP(A6,'raw data'!S:Y,6,0)</f>
        <v>122.99</v>
      </c>
      <c r="D6" s="42">
        <f>VLOOKUP(A6,'raw data'!A:G,6,0)</f>
        <v>6909.51</v>
      </c>
      <c r="F6" s="43">
        <f t="shared" ref="F6:H6" si="9">B6/B7-1</f>
        <v>0.01832620648</v>
      </c>
      <c r="G6" s="43">
        <f t="shared" si="9"/>
        <v>-0.08141011278</v>
      </c>
      <c r="H6" s="43">
        <f t="shared" si="9"/>
        <v>0.0107282294</v>
      </c>
      <c r="J6" s="43">
        <f t="shared" ref="J6:L6" si="10">LN(B6/B7)</f>
        <v>0.01816030538</v>
      </c>
      <c r="K6" s="43">
        <f t="shared" si="10"/>
        <v>-0.08491551605</v>
      </c>
      <c r="L6" s="43">
        <f t="shared" si="10"/>
        <v>0.01067109025</v>
      </c>
    </row>
    <row r="7">
      <c r="A7" s="13">
        <v>46062.0</v>
      </c>
      <c r="B7" s="41">
        <f>VLOOKUP(A7,'raw data'!J:P,6,0)</f>
        <v>114.59</v>
      </c>
      <c r="C7" s="41">
        <f>VLOOKUP(A7,'raw data'!S:Y,6,0)</f>
        <v>133.89</v>
      </c>
      <c r="D7" s="42">
        <f>VLOOKUP(A7,'raw data'!A:G,6,0)</f>
        <v>6836.17</v>
      </c>
      <c r="F7" s="43">
        <f t="shared" ref="F7:H7" si="11">B7/B8-1</f>
        <v>0.001748404581</v>
      </c>
      <c r="G7" s="43">
        <f t="shared" si="11"/>
        <v>0.02065863699</v>
      </c>
      <c r="H7" s="43">
        <f t="shared" si="11"/>
        <v>-0.01386697056</v>
      </c>
      <c r="J7" s="43">
        <f t="shared" ref="J7:L7" si="12">LN(B7/B8)</f>
        <v>0.001746877901</v>
      </c>
      <c r="K7" s="43">
        <f t="shared" si="12"/>
        <v>0.02044814144</v>
      </c>
      <c r="L7" s="43">
        <f t="shared" si="12"/>
        <v>-0.01396401518</v>
      </c>
    </row>
    <row r="8">
      <c r="A8" s="7">
        <v>46055.0</v>
      </c>
      <c r="B8" s="41">
        <f>VLOOKUP(A8,'raw data'!J:P,6,0)</f>
        <v>114.39</v>
      </c>
      <c r="C8" s="41">
        <f>VLOOKUP(A8,'raw data'!S:Y,6,0)</f>
        <v>131.18</v>
      </c>
      <c r="D8" s="42">
        <f>VLOOKUP(A8,'raw data'!A:G,6,0)</f>
        <v>6932.3</v>
      </c>
      <c r="F8" s="43">
        <f t="shared" ref="F8:H8" si="13">B8/B9-1</f>
        <v>0.09558471411</v>
      </c>
      <c r="G8" s="43">
        <f t="shared" si="13"/>
        <v>0.1010575793</v>
      </c>
      <c r="H8" s="43">
        <f t="shared" si="13"/>
        <v>-0.0009698761931</v>
      </c>
      <c r="J8" s="43">
        <f t="shared" ref="J8:L8" si="14">LN(B8/B9)</f>
        <v>0.09128820624</v>
      </c>
      <c r="K8" s="43">
        <f t="shared" si="14"/>
        <v>0.09627115367</v>
      </c>
      <c r="L8" s="43">
        <f t="shared" si="14"/>
        <v>-0.0009703468273</v>
      </c>
    </row>
    <row r="9">
      <c r="A9" s="13">
        <v>46048.0</v>
      </c>
      <c r="B9" s="41">
        <f>VLOOKUP(A9,'raw data'!J:P,6,0)</f>
        <v>104.41</v>
      </c>
      <c r="C9" s="41">
        <f>VLOOKUP(A9,'raw data'!S:Y,6,0)</f>
        <v>119.14</v>
      </c>
      <c r="D9" s="42">
        <f>VLOOKUP(A9,'raw data'!A:G,6,0)</f>
        <v>6939.03</v>
      </c>
      <c r="F9" s="43">
        <f t="shared" ref="F9:H9" si="15">B9/B10-1</f>
        <v>-0.02429679469</v>
      </c>
      <c r="G9" s="43">
        <f t="shared" si="15"/>
        <v>0.01197655653</v>
      </c>
      <c r="H9" s="43">
        <f t="shared" si="15"/>
        <v>0.003386541462</v>
      </c>
      <c r="J9" s="43">
        <f t="shared" ref="J9:L9" si="16">LN(B9/B10)</f>
        <v>-0.02459683174</v>
      </c>
      <c r="K9" s="43">
        <f t="shared" si="16"/>
        <v>0.01190540511</v>
      </c>
      <c r="L9" s="43">
        <f t="shared" si="16"/>
        <v>0.003380820044</v>
      </c>
    </row>
    <row r="10">
      <c r="A10" s="7">
        <v>46041.0</v>
      </c>
      <c r="B10" s="41">
        <f>VLOOKUP(A10,'raw data'!J:P,6,0)</f>
        <v>107.01</v>
      </c>
      <c r="C10" s="41">
        <f>VLOOKUP(A10,'raw data'!S:Y,6,0)</f>
        <v>117.73</v>
      </c>
      <c r="D10" s="42">
        <f>VLOOKUP(A10,'raw data'!A:G,6,0)</f>
        <v>6915.61</v>
      </c>
      <c r="F10" s="43">
        <f t="shared" ref="F10:H10" si="17">B10/B11-1</f>
        <v>-0.02859477124</v>
      </c>
      <c r="G10" s="43">
        <f t="shared" si="17"/>
        <v>-0.01645781119</v>
      </c>
      <c r="H10" s="43">
        <f t="shared" si="17"/>
        <v>-0.003515845078</v>
      </c>
      <c r="J10" s="43">
        <f t="shared" ref="J10:L10" si="18">LN(B10/B11)</f>
        <v>-0.02901156638</v>
      </c>
      <c r="K10" s="43">
        <f t="shared" si="18"/>
        <v>-0.01659474547</v>
      </c>
      <c r="L10" s="43">
        <f t="shared" si="18"/>
        <v>-0.003522040186</v>
      </c>
    </row>
    <row r="11">
      <c r="A11" s="13">
        <v>46034.0</v>
      </c>
      <c r="B11" s="41">
        <f>VLOOKUP(A11,'raw data'!J:P,6,0)</f>
        <v>110.16</v>
      </c>
      <c r="C11" s="41">
        <f>VLOOKUP(A11,'raw data'!S:Y,6,0)</f>
        <v>119.7</v>
      </c>
      <c r="D11" s="42">
        <f>VLOOKUP(A11,'raw data'!A:G,6,0)</f>
        <v>6940.01</v>
      </c>
      <c r="F11" s="43">
        <f t="shared" ref="F11:H11" si="19">B11/B12-1</f>
        <v>0.05456634118</v>
      </c>
      <c r="G11" s="43">
        <f t="shared" si="19"/>
        <v>0.04514101109</v>
      </c>
      <c r="H11" s="43">
        <f t="shared" si="19"/>
        <v>-0.003771022698</v>
      </c>
      <c r="J11" s="43">
        <f t="shared" ref="J11:L11" si="20">LN(B11/B12)</f>
        <v>0.05312963141</v>
      </c>
      <c r="K11" s="43">
        <f t="shared" si="20"/>
        <v>0.04415181515</v>
      </c>
      <c r="L11" s="43">
        <f t="shared" si="20"/>
        <v>-0.00377815093</v>
      </c>
    </row>
    <row r="12">
      <c r="A12" s="7">
        <v>46027.0</v>
      </c>
      <c r="B12" s="41">
        <f>VLOOKUP(A12,'raw data'!J:P,6,0)</f>
        <v>104.46</v>
      </c>
      <c r="C12" s="41">
        <f>VLOOKUP(A12,'raw data'!S:Y,6,0)</f>
        <v>114.53</v>
      </c>
      <c r="D12" s="42">
        <f>VLOOKUP(A12,'raw data'!A:G,6,0)</f>
        <v>6966.28</v>
      </c>
      <c r="F12" s="43">
        <f t="shared" ref="F12:H12" si="21">B12/B13-1</f>
        <v>0.04984924623</v>
      </c>
      <c r="G12" s="43">
        <f t="shared" si="21"/>
        <v>0.01569705569</v>
      </c>
      <c r="H12" s="43">
        <f t="shared" si="21"/>
        <v>0.01571924934</v>
      </c>
      <c r="J12" s="43">
        <f t="shared" ref="J12:L12" si="22">LN(B12/B13)</f>
        <v>0.04864657884</v>
      </c>
      <c r="K12" s="43">
        <f t="shared" si="22"/>
        <v>0.01557513116</v>
      </c>
      <c r="L12" s="43">
        <f t="shared" si="22"/>
        <v>0.01559698158</v>
      </c>
    </row>
    <row r="13">
      <c r="A13" s="13">
        <v>46020.0</v>
      </c>
      <c r="B13" s="41">
        <f>VLOOKUP(A13,'raw data'!J:P,6,0)</f>
        <v>99.5</v>
      </c>
      <c r="C13" s="41">
        <f>VLOOKUP(A13,'raw data'!S:Y,6,0)</f>
        <v>112.76</v>
      </c>
      <c r="D13" s="42">
        <f>VLOOKUP(A13,'raw data'!A:G,6,0)</f>
        <v>6858.47</v>
      </c>
      <c r="F13" s="43">
        <f t="shared" ref="F13:H13" si="23">B13/B14-1</f>
        <v>0.009639776763</v>
      </c>
      <c r="G13" s="43">
        <f t="shared" si="23"/>
        <v>0.009128333632</v>
      </c>
      <c r="H13" s="43">
        <f t="shared" si="23"/>
        <v>-0.01031322061</v>
      </c>
      <c r="J13" s="43">
        <f t="shared" ref="J13:L13" si="24">LN(B13/B14)</f>
        <v>0.009593610566</v>
      </c>
      <c r="K13" s="43">
        <f t="shared" si="24"/>
        <v>0.009086922215</v>
      </c>
      <c r="L13" s="43">
        <f t="shared" si="24"/>
        <v>-0.01036677036</v>
      </c>
    </row>
    <row r="14">
      <c r="A14" s="7">
        <v>46013.0</v>
      </c>
      <c r="B14" s="41">
        <f>VLOOKUP(A14,'raw data'!J:P,6,0)</f>
        <v>98.55</v>
      </c>
      <c r="C14" s="41">
        <f>VLOOKUP(A14,'raw data'!S:Y,6,0)</f>
        <v>111.74</v>
      </c>
      <c r="D14" s="42">
        <f>VLOOKUP(A14,'raw data'!A:G,6,0)</f>
        <v>6929.94</v>
      </c>
      <c r="F14" s="43">
        <f t="shared" ref="F14:H14" si="25">B14/B15-1</f>
        <v>0.01576994434</v>
      </c>
      <c r="G14" s="43">
        <f t="shared" si="25"/>
        <v>-0.02291010843</v>
      </c>
      <c r="H14" s="43">
        <f t="shared" si="25"/>
        <v>0.01396444509</v>
      </c>
      <c r="J14" s="43">
        <f t="shared" ref="J14:L14" si="26">LN(B14/B15)</f>
        <v>0.01564689078</v>
      </c>
      <c r="K14" s="43">
        <f t="shared" si="26"/>
        <v>-0.02317662342</v>
      </c>
      <c r="L14" s="43">
        <f t="shared" si="26"/>
        <v>0.01386784055</v>
      </c>
    </row>
    <row r="15">
      <c r="A15" s="13">
        <v>46006.0</v>
      </c>
      <c r="B15" s="41">
        <f>VLOOKUP(A15,'raw data'!J:P,6,0)</f>
        <v>97.02</v>
      </c>
      <c r="C15" s="41">
        <f>VLOOKUP(A15,'raw data'!S:Y,6,0)</f>
        <v>114.36</v>
      </c>
      <c r="D15" s="42">
        <f>VLOOKUP(A15,'raw data'!A:G,6,0)</f>
        <v>6834.5</v>
      </c>
      <c r="F15" s="43">
        <f t="shared" ref="F15:H15" si="27">B15/B16-1</f>
        <v>0.009468317553</v>
      </c>
      <c r="G15" s="43">
        <f t="shared" si="27"/>
        <v>-0.0180319423</v>
      </c>
      <c r="H15" s="43">
        <f t="shared" si="27"/>
        <v>0.001038461144</v>
      </c>
      <c r="J15" s="43">
        <f t="shared" ref="J15:L15" si="28">LN(B15/B16)</f>
        <v>0.009423773982</v>
      </c>
      <c r="K15" s="43">
        <f t="shared" si="28"/>
        <v>-0.01819649895</v>
      </c>
      <c r="L15" s="43">
        <f t="shared" si="28"/>
        <v>0.001037922316</v>
      </c>
    </row>
    <row r="16">
      <c r="A16" s="7">
        <v>45999.0</v>
      </c>
      <c r="B16" s="41">
        <f>VLOOKUP(A16,'raw data'!J:P,6,0)</f>
        <v>96.11</v>
      </c>
      <c r="C16" s="41">
        <f>VLOOKUP(A16,'raw data'!S:Y,6,0)</f>
        <v>116.46</v>
      </c>
      <c r="D16" s="42">
        <f>VLOOKUP(A16,'raw data'!A:G,6,0)</f>
        <v>6827.41</v>
      </c>
      <c r="F16" s="43">
        <f t="shared" ref="F16:H16" si="29">B16/B17-1</f>
        <v>0.05314486084</v>
      </c>
      <c r="G16" s="43">
        <f t="shared" si="29"/>
        <v>0.01375348189</v>
      </c>
      <c r="H16" s="43">
        <f t="shared" si="29"/>
        <v>-0.006257277597</v>
      </c>
      <c r="J16" s="43">
        <f t="shared" ref="J16:L16" si="30">LN(B16/B17)</f>
        <v>0.05178079334</v>
      </c>
      <c r="K16" s="43">
        <f t="shared" si="30"/>
        <v>0.01365976111</v>
      </c>
      <c r="L16" s="43">
        <f t="shared" si="30"/>
        <v>-0.006276936408</v>
      </c>
    </row>
    <row r="17">
      <c r="A17" s="13">
        <v>45992.0</v>
      </c>
      <c r="B17" s="41">
        <f>VLOOKUP(A17,'raw data'!J:P,6,0)</f>
        <v>91.26</v>
      </c>
      <c r="C17" s="41">
        <f>VLOOKUP(A17,'raw data'!S:Y,6,0)</f>
        <v>114.88</v>
      </c>
      <c r="D17" s="42">
        <f>VLOOKUP(A17,'raw data'!A:G,6,0)</f>
        <v>6870.4</v>
      </c>
      <c r="F17" s="43">
        <f t="shared" ref="F17:H17" si="31">B17/B18-1</f>
        <v>0.01727789544</v>
      </c>
      <c r="G17" s="43">
        <f t="shared" si="31"/>
        <v>0.04161755372</v>
      </c>
      <c r="H17" s="43">
        <f t="shared" si="31"/>
        <v>0.003111362239</v>
      </c>
      <c r="J17" s="43">
        <f t="shared" ref="J17:L17" si="32">LN(B17/B18)</f>
        <v>0.01713032993</v>
      </c>
      <c r="K17" s="43">
        <f t="shared" si="32"/>
        <v>0.04077484498</v>
      </c>
      <c r="L17" s="43">
        <f t="shared" si="32"/>
        <v>0.003106531968</v>
      </c>
    </row>
    <row r="18">
      <c r="A18" s="7">
        <v>45985.0</v>
      </c>
      <c r="B18" s="41">
        <f>VLOOKUP(A18,'raw data'!J:P,6,0)</f>
        <v>89.71</v>
      </c>
      <c r="C18" s="41">
        <f>VLOOKUP(A18,'raw data'!S:Y,6,0)</f>
        <v>110.29</v>
      </c>
      <c r="D18" s="42">
        <f>VLOOKUP(A18,'raw data'!A:G,6,0)</f>
        <v>6849.09</v>
      </c>
      <c r="F18" s="43">
        <f t="shared" ref="F18:H18" si="33">B18/B19-1</f>
        <v>0.03424025824</v>
      </c>
      <c r="G18" s="43">
        <f t="shared" si="33"/>
        <v>0.04928170488</v>
      </c>
      <c r="H18" s="43">
        <f t="shared" si="33"/>
        <v>0.0372709939</v>
      </c>
      <c r="J18" s="43">
        <f t="shared" ref="J18:L18" si="34">LN(B18/B19)</f>
        <v>0.03366710716</v>
      </c>
      <c r="K18" s="43">
        <f t="shared" si="34"/>
        <v>0.04810583948</v>
      </c>
      <c r="L18" s="43">
        <f t="shared" si="34"/>
        <v>0.03659321999</v>
      </c>
    </row>
    <row r="19">
      <c r="A19" s="13">
        <v>45978.0</v>
      </c>
      <c r="B19" s="41">
        <f>VLOOKUP(A19,'raw data'!J:P,6,0)</f>
        <v>86.74</v>
      </c>
      <c r="C19" s="41">
        <f>VLOOKUP(A19,'raw data'!S:Y,6,0)</f>
        <v>105.11</v>
      </c>
      <c r="D19" s="42">
        <f>VLOOKUP(A19,'raw data'!A:G,6,0)</f>
        <v>6602.99</v>
      </c>
      <c r="F19" s="43">
        <f t="shared" ref="F19:H19" si="35">B19/B20-1</f>
        <v>-0.01308453749</v>
      </c>
      <c r="G19" s="43">
        <f t="shared" si="35"/>
        <v>0.02776962941</v>
      </c>
      <c r="H19" s="43">
        <f t="shared" si="35"/>
        <v>-0.01947102141</v>
      </c>
      <c r="J19" s="43">
        <f t="shared" ref="J19:L19" si="36">LN(B19/B20)</f>
        <v>-0.01317089417</v>
      </c>
      <c r="K19" s="43">
        <f t="shared" si="36"/>
        <v>0.02739104602</v>
      </c>
      <c r="L19" s="43">
        <f t="shared" si="36"/>
        <v>-0.01966307887</v>
      </c>
    </row>
    <row r="20">
      <c r="A20" s="7">
        <v>45971.0</v>
      </c>
      <c r="B20" s="41">
        <f>VLOOKUP(A20,'raw data'!J:P,6,0)</f>
        <v>87.89</v>
      </c>
      <c r="C20" s="41">
        <f>VLOOKUP(A20,'raw data'!S:Y,6,0)</f>
        <v>102.27</v>
      </c>
      <c r="D20" s="42">
        <f>VLOOKUP(A20,'raw data'!A:G,6,0)</f>
        <v>6734.11</v>
      </c>
      <c r="F20" s="43">
        <f t="shared" ref="F20:H20" si="37">B20/B21-1</f>
        <v>-0.01468609865</v>
      </c>
      <c r="G20" s="43">
        <f t="shared" si="37"/>
        <v>-0.001074428599</v>
      </c>
      <c r="H20" s="43">
        <f t="shared" si="37"/>
        <v>0.000789145167</v>
      </c>
      <c r="J20" s="43">
        <f t="shared" ref="J20:L20" si="38">LN(B20/B21)</f>
        <v>-0.01479500701</v>
      </c>
      <c r="K20" s="43">
        <f t="shared" si="38"/>
        <v>-0.001075006212</v>
      </c>
      <c r="L20" s="43">
        <f t="shared" si="38"/>
        <v>0.0007888339557</v>
      </c>
    </row>
    <row r="21">
      <c r="A21" s="13">
        <v>45964.0</v>
      </c>
      <c r="B21" s="41">
        <f>VLOOKUP(A21,'raw data'!J:P,6,0)</f>
        <v>89.2</v>
      </c>
      <c r="C21" s="41">
        <f>VLOOKUP(A21,'raw data'!S:Y,6,0)</f>
        <v>102.38</v>
      </c>
      <c r="D21" s="42">
        <f>VLOOKUP(A21,'raw data'!A:G,6,0)</f>
        <v>6728.8</v>
      </c>
      <c r="F21" s="43">
        <f t="shared" ref="F21:H21" si="39">B21/B22-1</f>
        <v>-0.0158870256</v>
      </c>
      <c r="G21" s="43">
        <f t="shared" si="39"/>
        <v>0.01396454392</v>
      </c>
      <c r="H21" s="43">
        <f t="shared" si="39"/>
        <v>-0.01628607351</v>
      </c>
      <c r="J21" s="43">
        <f t="shared" ref="J21:L21" si="40">LN(B21/B22)</f>
        <v>-0.01601457713</v>
      </c>
      <c r="K21" s="43">
        <f t="shared" si="40"/>
        <v>0.01386793801</v>
      </c>
      <c r="L21" s="43">
        <f t="shared" si="40"/>
        <v>-0.01642014931</v>
      </c>
    </row>
    <row r="22">
      <c r="A22" s="7">
        <v>45957.0</v>
      </c>
      <c r="B22" s="41">
        <f>VLOOKUP(A22,'raw data'!J:P,6,0)</f>
        <v>90.64</v>
      </c>
      <c r="C22" s="41">
        <f>VLOOKUP(A22,'raw data'!S:Y,6,0)</f>
        <v>100.97</v>
      </c>
      <c r="D22" s="42">
        <f>VLOOKUP(A22,'raw data'!A:G,6,0)</f>
        <v>6840.2</v>
      </c>
      <c r="F22" s="43">
        <f t="shared" ref="F22:H22" si="41">B22/B23-1</f>
        <v>-0.01638632664</v>
      </c>
      <c r="G22" s="43">
        <f t="shared" si="41"/>
        <v>-0.04700330345</v>
      </c>
      <c r="H22" s="43">
        <f t="shared" si="41"/>
        <v>0.007142552148</v>
      </c>
      <c r="J22" s="43">
        <f t="shared" ref="J22:L22" si="42">LN(B22/B23)</f>
        <v>-0.0165220674</v>
      </c>
      <c r="K22" s="43">
        <f t="shared" si="42"/>
        <v>-0.0481438417</v>
      </c>
      <c r="L22" s="43">
        <f t="shared" si="42"/>
        <v>0.007117164937</v>
      </c>
    </row>
    <row r="23">
      <c r="A23" s="13">
        <v>45950.0</v>
      </c>
      <c r="B23" s="41">
        <f>VLOOKUP(A23,'raw data'!J:P,6,0)</f>
        <v>92.15</v>
      </c>
      <c r="C23" s="41">
        <f>VLOOKUP(A23,'raw data'!S:Y,6,0)</f>
        <v>105.95</v>
      </c>
      <c r="D23" s="42">
        <f>VLOOKUP(A23,'raw data'!A:G,6,0)</f>
        <v>6791.69</v>
      </c>
      <c r="F23" s="43">
        <f t="shared" ref="F23:H23" si="43">B23/B24-1</f>
        <v>0.03760837743</v>
      </c>
      <c r="G23" s="43">
        <f t="shared" si="43"/>
        <v>-0.01451027811</v>
      </c>
      <c r="H23" s="43">
        <f t="shared" si="43"/>
        <v>0.01915963511</v>
      </c>
      <c r="J23" s="43">
        <f t="shared" ref="J23:L23" si="44">LN(B23/B24)</f>
        <v>0.03691842785</v>
      </c>
      <c r="K23" s="43">
        <f t="shared" si="44"/>
        <v>-0.01461658178</v>
      </c>
      <c r="L23" s="43">
        <f t="shared" si="44"/>
        <v>0.01897840057</v>
      </c>
    </row>
    <row r="24">
      <c r="A24" s="7">
        <v>45943.0</v>
      </c>
      <c r="B24" s="41">
        <f>VLOOKUP(A24,'raw data'!J:P,6,0)</f>
        <v>88.81</v>
      </c>
      <c r="C24" s="41">
        <f>VLOOKUP(A24,'raw data'!S:Y,6,0)</f>
        <v>107.51</v>
      </c>
      <c r="D24" s="42">
        <f>VLOOKUP(A24,'raw data'!A:G,6,0)</f>
        <v>6664.01</v>
      </c>
      <c r="F24" s="43">
        <f t="shared" ref="F24:H24" si="45">B24/B25-1</f>
        <v>0.06219351752</v>
      </c>
      <c r="G24" s="43">
        <f t="shared" si="45"/>
        <v>0.05785693201</v>
      </c>
      <c r="H24" s="43">
        <f t="shared" si="45"/>
        <v>0.01701637998</v>
      </c>
      <c r="J24" s="43">
        <f t="shared" ref="J24:L24" si="46">LN(B24/B25)</f>
        <v>0.06033612611</v>
      </c>
      <c r="K24" s="43">
        <f t="shared" si="46"/>
        <v>0.05624509935</v>
      </c>
      <c r="L24" s="43">
        <f t="shared" si="46"/>
        <v>0.01687322311</v>
      </c>
    </row>
    <row r="25">
      <c r="A25" s="13">
        <v>45936.0</v>
      </c>
      <c r="B25" s="41">
        <f>VLOOKUP(A25,'raw data'!J:P,6,0)</f>
        <v>83.61</v>
      </c>
      <c r="C25" s="41">
        <f>VLOOKUP(A25,'raw data'!S:Y,6,0)</f>
        <v>101.63</v>
      </c>
      <c r="D25" s="42">
        <f>VLOOKUP(A25,'raw data'!A:G,6,0)</f>
        <v>6552.51</v>
      </c>
      <c r="F25" s="43">
        <f t="shared" ref="F25:H25" si="47">B25/B26-1</f>
        <v>-0.03940716912</v>
      </c>
      <c r="G25" s="43">
        <f t="shared" si="47"/>
        <v>-0.002258001178</v>
      </c>
      <c r="H25" s="43">
        <f t="shared" si="47"/>
        <v>-0.02431285076</v>
      </c>
      <c r="J25" s="43">
        <f t="shared" ref="J25:L25" si="48">LN(B25/B26)</f>
        <v>-0.04020465295</v>
      </c>
      <c r="K25" s="43">
        <f t="shared" si="48"/>
        <v>-0.002260554307</v>
      </c>
      <c r="L25" s="43">
        <f t="shared" si="48"/>
        <v>-0.02461328776</v>
      </c>
    </row>
    <row r="26">
      <c r="A26" s="7">
        <v>45929.0</v>
      </c>
      <c r="B26" s="41">
        <f>VLOOKUP(A26,'raw data'!J:P,6,0)</f>
        <v>87.04</v>
      </c>
      <c r="C26" s="41">
        <f>VLOOKUP(A26,'raw data'!S:Y,6,0)</f>
        <v>101.86</v>
      </c>
      <c r="D26" s="42">
        <f>VLOOKUP(A26,'raw data'!A:G,6,0)</f>
        <v>6715.79</v>
      </c>
      <c r="F26" s="43">
        <f t="shared" ref="F26:H26" si="49">B26/B27-1</f>
        <v>0.01350721938</v>
      </c>
      <c r="G26" s="43">
        <f t="shared" si="49"/>
        <v>-0.01058766391</v>
      </c>
      <c r="H26" s="43">
        <f t="shared" si="49"/>
        <v>0.01085088129</v>
      </c>
      <c r="J26" s="43">
        <f t="shared" ref="J26:L26" si="50">LN(B26/B27)</f>
        <v>0.0134168101</v>
      </c>
      <c r="K26" s="43">
        <f t="shared" si="50"/>
        <v>-0.01064411202</v>
      </c>
      <c r="L26" s="43">
        <f t="shared" si="50"/>
        <v>0.0107924329</v>
      </c>
    </row>
    <row r="27">
      <c r="A27" s="13">
        <v>45922.0</v>
      </c>
      <c r="B27" s="41">
        <f>VLOOKUP(A27,'raw data'!J:P,6,0)</f>
        <v>85.88</v>
      </c>
      <c r="C27" s="41">
        <f>VLOOKUP(A27,'raw data'!S:Y,6,0)</f>
        <v>102.95</v>
      </c>
      <c r="D27" s="42">
        <f>VLOOKUP(A27,'raw data'!A:G,6,0)</f>
        <v>6643.7</v>
      </c>
      <c r="F27" s="43">
        <f t="shared" ref="F27:H27" si="51">B27/B28-1</f>
        <v>-0.003249767874</v>
      </c>
      <c r="G27" s="43">
        <f t="shared" si="51"/>
        <v>0.00812769291</v>
      </c>
      <c r="H27" s="43">
        <f t="shared" si="51"/>
        <v>-0.003100072625</v>
      </c>
      <c r="J27" s="43">
        <f t="shared" ref="J27:L27" si="52">LN(B27/B28)</f>
        <v>-0.003255059838</v>
      </c>
      <c r="K27" s="43">
        <f t="shared" si="52"/>
        <v>0.008094841101</v>
      </c>
      <c r="L27" s="43">
        <f t="shared" si="52"/>
        <v>-0.003104887804</v>
      </c>
    </row>
    <row r="28">
      <c r="A28" s="7">
        <v>45915.0</v>
      </c>
      <c r="B28" s="41">
        <f>VLOOKUP(A28,'raw data'!J:P,6,0)</f>
        <v>86.16</v>
      </c>
      <c r="C28" s="41">
        <f>VLOOKUP(A28,'raw data'!S:Y,6,0)</f>
        <v>102.12</v>
      </c>
      <c r="D28" s="42">
        <f>VLOOKUP(A28,'raw data'!A:G,6,0)</f>
        <v>6664.36</v>
      </c>
      <c r="F28" s="43">
        <f t="shared" ref="F28:H28" si="53">B28/B29-1</f>
        <v>-0.020352473</v>
      </c>
      <c r="G28" s="43">
        <f t="shared" si="53"/>
        <v>-0.01123160341</v>
      </c>
      <c r="H28" s="43">
        <f t="shared" si="53"/>
        <v>0.01216076449</v>
      </c>
      <c r="J28" s="43">
        <f t="shared" ref="J28:L28" si="54">LN(B28/B29)</f>
        <v>-0.02056243834</v>
      </c>
      <c r="K28" s="43">
        <f t="shared" si="54"/>
        <v>-0.01129515417</v>
      </c>
      <c r="L28" s="43">
        <f t="shared" si="54"/>
        <v>0.01208741644</v>
      </c>
    </row>
    <row r="29">
      <c r="A29" s="13">
        <v>45908.0</v>
      </c>
      <c r="B29" s="41">
        <f>VLOOKUP(A29,'raw data'!J:P,6,0)</f>
        <v>87.95</v>
      </c>
      <c r="C29" s="41">
        <f>VLOOKUP(A29,'raw data'!S:Y,6,0)</f>
        <v>103.28</v>
      </c>
      <c r="D29" s="42">
        <f>VLOOKUP(A29,'raw data'!A:G,6,0)</f>
        <v>6584.29</v>
      </c>
      <c r="F29" s="43">
        <f t="shared" ref="F29:H29" si="55">B29/B30-1</f>
        <v>-0.03436539306</v>
      </c>
      <c r="G29" s="43">
        <f t="shared" si="55"/>
        <v>0.02960821453</v>
      </c>
      <c r="H29" s="43">
        <f t="shared" si="55"/>
        <v>0.01585898326</v>
      </c>
      <c r="J29" s="43">
        <f t="shared" ref="J29:L29" si="56">LN(B29/B30)</f>
        <v>-0.03496977001</v>
      </c>
      <c r="K29" s="43">
        <f t="shared" si="56"/>
        <v>0.02917835564</v>
      </c>
      <c r="L29" s="43">
        <f t="shared" si="56"/>
        <v>0.01573454352</v>
      </c>
    </row>
    <row r="30">
      <c r="A30" s="7">
        <v>45901.0</v>
      </c>
      <c r="B30" s="41">
        <f>VLOOKUP(A30,'raw data'!J:P,6,0)</f>
        <v>91.08</v>
      </c>
      <c r="C30" s="41">
        <f>VLOOKUP(A30,'raw data'!S:Y,6,0)</f>
        <v>100.31</v>
      </c>
      <c r="D30" s="42">
        <f>VLOOKUP(A30,'raw data'!A:G,6,0)</f>
        <v>6481.5</v>
      </c>
      <c r="F30" s="43">
        <f t="shared" ref="F30:H30" si="57">B30/B31-1</f>
        <v>-0.02930832356</v>
      </c>
      <c r="G30" s="43">
        <f t="shared" si="57"/>
        <v>0.0364744782</v>
      </c>
      <c r="H30" s="43">
        <f t="shared" si="57"/>
        <v>0.003287793371</v>
      </c>
      <c r="J30" s="43">
        <f t="shared" ref="J30:L30" si="58">LN(B30/B31)</f>
        <v>-0.02974639311</v>
      </c>
      <c r="K30" s="43">
        <f t="shared" si="58"/>
        <v>0.03582502953</v>
      </c>
      <c r="L30" s="43">
        <f t="shared" si="58"/>
        <v>0.003282400395</v>
      </c>
    </row>
    <row r="31">
      <c r="A31" s="13">
        <v>45894.0</v>
      </c>
      <c r="B31" s="41">
        <f>VLOOKUP(A31,'raw data'!J:P,6,0)</f>
        <v>93.83</v>
      </c>
      <c r="C31" s="41">
        <f>VLOOKUP(A31,'raw data'!S:Y,6,0)</f>
        <v>96.78</v>
      </c>
      <c r="D31" s="42">
        <f>VLOOKUP(A31,'raw data'!A:G,6,0)</f>
        <v>6460.26</v>
      </c>
      <c r="F31" s="43">
        <f t="shared" ref="F31:H31" si="59">B31/B32-1</f>
        <v>-0.03287981859</v>
      </c>
      <c r="G31" s="43">
        <f t="shared" si="59"/>
        <v>0.001552312946</v>
      </c>
      <c r="H31" s="43">
        <f t="shared" si="59"/>
        <v>-0.001028311821</v>
      </c>
      <c r="J31" s="43">
        <f t="shared" ref="J31:L31" si="60">LN(B31/B32)</f>
        <v>-0.03343250852</v>
      </c>
      <c r="K31" s="43">
        <f t="shared" si="60"/>
        <v>0.001551109354</v>
      </c>
      <c r="L31" s="43">
        <f t="shared" si="60"/>
        <v>-0.001028840897</v>
      </c>
    </row>
    <row r="32">
      <c r="A32" s="7">
        <v>45887.0</v>
      </c>
      <c r="B32" s="41">
        <f>VLOOKUP(A32,'raw data'!J:P,6,0)</f>
        <v>97.02</v>
      </c>
      <c r="C32" s="41">
        <f>VLOOKUP(A32,'raw data'!S:Y,6,0)</f>
        <v>96.63</v>
      </c>
      <c r="D32" s="42">
        <f>VLOOKUP(A32,'raw data'!A:G,6,0)</f>
        <v>6466.91</v>
      </c>
      <c r="F32" s="43">
        <f t="shared" ref="F32:H32" si="61">B32/B33-1</f>
        <v>-0.02619692864</v>
      </c>
      <c r="G32" s="43">
        <f t="shared" si="61"/>
        <v>-0.02942948975</v>
      </c>
      <c r="H32" s="43">
        <f t="shared" si="61"/>
        <v>0.002652795436</v>
      </c>
      <c r="J32" s="43">
        <f t="shared" ref="J32:L32" si="62">LN(B32/B33)</f>
        <v>-0.02654618124</v>
      </c>
      <c r="K32" s="43">
        <f t="shared" si="62"/>
        <v>-0.02987122549</v>
      </c>
      <c r="L32" s="43">
        <f t="shared" si="62"/>
        <v>0.002649282984</v>
      </c>
    </row>
    <row r="33">
      <c r="A33" s="13">
        <v>45880.0</v>
      </c>
      <c r="B33" s="41">
        <f>VLOOKUP(A33,'raw data'!J:P,6,0)</f>
        <v>99.63</v>
      </c>
      <c r="C33" s="41">
        <f>VLOOKUP(A33,'raw data'!S:Y,6,0)</f>
        <v>99.56</v>
      </c>
      <c r="D33" s="42">
        <f>VLOOKUP(A33,'raw data'!A:G,6,0)</f>
        <v>6449.8</v>
      </c>
      <c r="F33" s="43">
        <f t="shared" ref="F33:H33" si="63">B33/B34-1</f>
        <v>-0.02256450505</v>
      </c>
      <c r="G33" s="43">
        <f t="shared" si="63"/>
        <v>-0.03601859024</v>
      </c>
      <c r="H33" s="43">
        <f t="shared" si="63"/>
        <v>0.009445257417</v>
      </c>
      <c r="J33" s="43">
        <f t="shared" ref="J33:L33" si="64">LN(B33/B34)</f>
        <v>-0.02282297912</v>
      </c>
      <c r="K33" s="43">
        <f t="shared" si="64"/>
        <v>-0.03668326904</v>
      </c>
      <c r="L33" s="43">
        <f t="shared" si="64"/>
        <v>0.009400929877</v>
      </c>
    </row>
    <row r="34">
      <c r="A34" s="7">
        <v>45873.0</v>
      </c>
      <c r="B34" s="41">
        <f>VLOOKUP(A34,'raw data'!J:P,6,0)</f>
        <v>101.93</v>
      </c>
      <c r="C34" s="41">
        <f>VLOOKUP(A34,'raw data'!S:Y,6,0)</f>
        <v>103.28</v>
      </c>
      <c r="D34" s="42">
        <f>VLOOKUP(A34,'raw data'!A:G,6,0)</f>
        <v>6389.45</v>
      </c>
      <c r="F34" s="43">
        <f t="shared" ref="F34:H34" si="65">B34/B35-1</f>
        <v>0.05637889937</v>
      </c>
      <c r="G34" s="43">
        <f t="shared" si="65"/>
        <v>0.05323271466</v>
      </c>
      <c r="H34" s="43">
        <f t="shared" si="65"/>
        <v>0.02427697294</v>
      </c>
      <c r="J34" s="43">
        <f t="shared" ref="J34:L34" si="66">LN(B34/B35)</f>
        <v>0.05484692715</v>
      </c>
      <c r="K34" s="43">
        <f t="shared" si="66"/>
        <v>0.05186421032</v>
      </c>
      <c r="L34" s="43">
        <f t="shared" si="66"/>
        <v>0.02398697144</v>
      </c>
    </row>
    <row r="35">
      <c r="A35" s="13">
        <v>45866.0</v>
      </c>
      <c r="B35" s="41">
        <f>VLOOKUP(A35,'raw data'!J:P,6,0)</f>
        <v>96.49</v>
      </c>
      <c r="C35" s="41">
        <f>VLOOKUP(A35,'raw data'!S:Y,6,0)</f>
        <v>98.06</v>
      </c>
      <c r="D35" s="42">
        <f>VLOOKUP(A35,'raw data'!A:G,6,0)</f>
        <v>6238.01</v>
      </c>
      <c r="F35" s="43">
        <f t="shared" ref="F35:H35" si="67">B35/B36-1</f>
        <v>-0.05918486739</v>
      </c>
      <c r="G35" s="43">
        <f t="shared" si="67"/>
        <v>0.0104070067</v>
      </c>
      <c r="H35" s="43">
        <f t="shared" si="67"/>
        <v>-0.02357778807</v>
      </c>
      <c r="J35" s="43">
        <f t="shared" ref="J35:L35" si="68">LN(B35/B36)</f>
        <v>-0.06100861714</v>
      </c>
      <c r="K35" s="43">
        <f t="shared" si="68"/>
        <v>0.01035322661</v>
      </c>
      <c r="L35" s="43">
        <f t="shared" si="68"/>
        <v>-0.02386019192</v>
      </c>
    </row>
    <row r="36">
      <c r="A36" s="7">
        <v>45859.0</v>
      </c>
      <c r="B36" s="41">
        <f>VLOOKUP(A36,'raw data'!J:P,6,0)</f>
        <v>102.56</v>
      </c>
      <c r="C36" s="41">
        <f>VLOOKUP(A36,'raw data'!S:Y,6,0)</f>
        <v>97.05</v>
      </c>
      <c r="D36" s="42">
        <f>VLOOKUP(A36,'raw data'!A:G,6,0)</f>
        <v>6388.64</v>
      </c>
      <c r="F36" s="43">
        <f t="shared" ref="F36:H36" si="69">B36/B37-1</f>
        <v>0.02498500899</v>
      </c>
      <c r="G36" s="43">
        <f t="shared" si="69"/>
        <v>0.0254649197</v>
      </c>
      <c r="H36" s="43">
        <f t="shared" si="69"/>
        <v>0.0145867974</v>
      </c>
      <c r="J36" s="43">
        <f t="shared" ref="J36:L36" si="70">LN(B36/B37)</f>
        <v>0.02467798711</v>
      </c>
      <c r="K36" s="43">
        <f t="shared" si="70"/>
        <v>0.02514608994</v>
      </c>
      <c r="L36" s="43">
        <f t="shared" si="70"/>
        <v>0.01448143345</v>
      </c>
    </row>
    <row r="37">
      <c r="A37" s="13">
        <v>45852.0</v>
      </c>
      <c r="B37" s="41">
        <f>VLOOKUP(A37,'raw data'!J:P,6,0)</f>
        <v>100.06</v>
      </c>
      <c r="C37" s="41">
        <f>VLOOKUP(A37,'raw data'!S:Y,6,0)</f>
        <v>94.64</v>
      </c>
      <c r="D37" s="42">
        <f>VLOOKUP(A37,'raw data'!A:G,6,0)</f>
        <v>6296.79</v>
      </c>
      <c r="F37" s="43">
        <f t="shared" ref="F37:H37" si="71">B37/B38-1</f>
        <v>-0.007439738121</v>
      </c>
      <c r="G37" s="43">
        <f t="shared" si="71"/>
        <v>0.006915629322</v>
      </c>
      <c r="H37" s="43">
        <f t="shared" si="71"/>
        <v>0.005917169216</v>
      </c>
      <c r="J37" s="43">
        <f t="shared" ref="J37:L37" si="72">LN(B37/B38)</f>
        <v>-0.007467551006</v>
      </c>
      <c r="K37" s="43">
        <f t="shared" si="72"/>
        <v>0.006891826038</v>
      </c>
      <c r="L37" s="43">
        <f t="shared" si="72"/>
        <v>0.005899731524</v>
      </c>
    </row>
    <row r="38">
      <c r="A38" s="7">
        <v>45845.0</v>
      </c>
      <c r="B38" s="41">
        <f>VLOOKUP(A38,'raw data'!J:P,6,0)</f>
        <v>100.81</v>
      </c>
      <c r="C38" s="41">
        <f>VLOOKUP(A38,'raw data'!S:Y,6,0)</f>
        <v>93.99</v>
      </c>
      <c r="D38" s="42">
        <f>VLOOKUP(A38,'raw data'!A:G,6,0)</f>
        <v>6259.75</v>
      </c>
      <c r="F38" s="43">
        <f t="shared" ref="F38:H38" si="73">B38/B39-1</f>
        <v>0.001689189189</v>
      </c>
      <c r="G38" s="43">
        <f t="shared" si="73"/>
        <v>-0.04023281936</v>
      </c>
      <c r="H38" s="43">
        <f t="shared" si="73"/>
        <v>-0.003121342177</v>
      </c>
      <c r="J38" s="43">
        <f t="shared" ref="J38:L38" si="74">LN(B38/B39)</f>
        <v>0.001687764114</v>
      </c>
      <c r="K38" s="43">
        <f t="shared" si="74"/>
        <v>-0.0410645441</v>
      </c>
      <c r="L38" s="43">
        <f t="shared" si="74"/>
        <v>-0.003126223726</v>
      </c>
    </row>
    <row r="39">
      <c r="A39" s="13">
        <v>45838.0</v>
      </c>
      <c r="B39" s="41">
        <f>VLOOKUP(A39,'raw data'!J:P,6,0)</f>
        <v>100.64</v>
      </c>
      <c r="C39" s="41">
        <f>VLOOKUP(A39,'raw data'!S:Y,6,0)</f>
        <v>97.93</v>
      </c>
      <c r="D39" s="42">
        <f>VLOOKUP(A39,'raw data'!A:G,6,0)</f>
        <v>6279.35</v>
      </c>
      <c r="F39" s="43">
        <f t="shared" ref="F39:H39" si="75">B39/B40-1</f>
        <v>0.04866103991</v>
      </c>
      <c r="G39" s="43">
        <f t="shared" si="75"/>
        <v>0.01115126484</v>
      </c>
      <c r="H39" s="43">
        <f t="shared" si="75"/>
        <v>0.01721671713</v>
      </c>
      <c r="J39" s="43">
        <f t="shared" ref="J39:L39" si="76">LN(B39/B40)</f>
        <v>0.04751415032</v>
      </c>
      <c r="K39" s="43">
        <f t="shared" si="76"/>
        <v>0.01108954788</v>
      </c>
      <c r="L39" s="43">
        <f t="shared" si="76"/>
        <v>0.01707018889</v>
      </c>
    </row>
    <row r="40">
      <c r="A40" s="7">
        <v>45831.0</v>
      </c>
      <c r="B40" s="41">
        <f>VLOOKUP(A40,'raw data'!J:P,6,0)</f>
        <v>95.97</v>
      </c>
      <c r="C40" s="41">
        <f>VLOOKUP(A40,'raw data'!S:Y,6,0)</f>
        <v>96.85</v>
      </c>
      <c r="D40" s="42">
        <f>VLOOKUP(A40,'raw data'!A:G,6,0)</f>
        <v>6173.07</v>
      </c>
      <c r="F40" s="43">
        <f t="shared" ref="F40:H40" si="77">B40/B41-1</f>
        <v>0.03863636364</v>
      </c>
      <c r="G40" s="43">
        <f t="shared" si="77"/>
        <v>0.01201671891</v>
      </c>
      <c r="H40" s="43">
        <f t="shared" si="77"/>
        <v>0.03438932679</v>
      </c>
      <c r="J40" s="43">
        <f t="shared" ref="J40:L40" si="78">LN(B40/B41)</f>
        <v>0.03790866398</v>
      </c>
      <c r="K40" s="43">
        <f t="shared" si="78"/>
        <v>0.01194509139</v>
      </c>
      <c r="L40" s="43">
        <f t="shared" si="78"/>
        <v>0.03381123016</v>
      </c>
    </row>
    <row r="41">
      <c r="A41" s="13">
        <v>45824.0</v>
      </c>
      <c r="B41" s="41">
        <f>VLOOKUP(A41,'raw data'!J:P,6,0)</f>
        <v>92.4</v>
      </c>
      <c r="C41" s="41">
        <f>VLOOKUP(A41,'raw data'!S:Y,6,0)</f>
        <v>95.7</v>
      </c>
      <c r="D41" s="42">
        <f>VLOOKUP(A41,'raw data'!A:G,6,0)</f>
        <v>5967.84</v>
      </c>
      <c r="F41" s="43">
        <f t="shared" ref="F41:H41" si="79">B41/B42-1</f>
        <v>0.001843218042</v>
      </c>
      <c r="G41" s="43">
        <f t="shared" si="79"/>
        <v>0.01776028927</v>
      </c>
      <c r="H41" s="43">
        <f t="shared" si="79"/>
        <v>-0.001527529835</v>
      </c>
      <c r="J41" s="43">
        <f t="shared" ref="J41:L41" si="80">LN(B41/B42)</f>
        <v>0.0018415214</v>
      </c>
      <c r="K41" s="43">
        <f t="shared" si="80"/>
        <v>0.01760441817</v>
      </c>
      <c r="L41" s="43">
        <f t="shared" si="80"/>
        <v>-0.001528697698</v>
      </c>
    </row>
    <row r="42">
      <c r="A42" s="7">
        <v>45817.0</v>
      </c>
      <c r="B42" s="41">
        <f>VLOOKUP(A42,'raw data'!J:P,6,0)</f>
        <v>92.23</v>
      </c>
      <c r="C42" s="41">
        <f>VLOOKUP(A42,'raw data'!S:Y,6,0)</f>
        <v>94.03</v>
      </c>
      <c r="D42" s="42">
        <f>VLOOKUP(A42,'raw data'!A:G,6,0)</f>
        <v>5976.97</v>
      </c>
      <c r="F42" s="43">
        <f t="shared" ref="F42:H42" si="81">B42/B43-1</f>
        <v>-0.02008074798</v>
      </c>
      <c r="G42" s="43">
        <f t="shared" si="81"/>
        <v>-0.03111798042</v>
      </c>
      <c r="H42" s="43">
        <f t="shared" si="81"/>
        <v>-0.003898099447</v>
      </c>
      <c r="J42" s="43">
        <f t="shared" ref="J42:L42" si="82">LN(B42/B43)</f>
        <v>-0.02028510661</v>
      </c>
      <c r="K42" s="43">
        <f t="shared" si="82"/>
        <v>-0.03161242933</v>
      </c>
      <c r="L42" s="43">
        <f t="shared" si="82"/>
        <v>-0.003905716839</v>
      </c>
    </row>
    <row r="43">
      <c r="A43" s="13">
        <v>45810.0</v>
      </c>
      <c r="B43" s="41">
        <f>VLOOKUP(A43,'raw data'!J:P,6,0)</f>
        <v>94.12</v>
      </c>
      <c r="C43" s="41">
        <f>VLOOKUP(A43,'raw data'!S:Y,6,0)</f>
        <v>97.05</v>
      </c>
      <c r="D43" s="42">
        <f>VLOOKUP(A43,'raw data'!A:G,6,0)</f>
        <v>6000.36</v>
      </c>
      <c r="F43" s="43">
        <f t="shared" ref="F43:H43" si="83">B43/B44-1</f>
        <v>0.03519577651</v>
      </c>
      <c r="G43" s="43">
        <f t="shared" si="83"/>
        <v>-0.01261572897</v>
      </c>
      <c r="H43" s="43">
        <f t="shared" si="83"/>
        <v>0.01499909501</v>
      </c>
      <c r="J43" s="43">
        <f t="shared" ref="J43:L43" si="84">LN(B43/B44)</f>
        <v>0.03459056487</v>
      </c>
      <c r="K43" s="43">
        <f t="shared" si="84"/>
        <v>-0.01269598296</v>
      </c>
      <c r="L43" s="43">
        <f t="shared" si="84"/>
        <v>0.01488772088</v>
      </c>
    </row>
    <row r="44">
      <c r="A44" s="7">
        <v>45803.0</v>
      </c>
      <c r="B44" s="41">
        <f>VLOOKUP(A44,'raw data'!J:P,6,0)</f>
        <v>90.92</v>
      </c>
      <c r="C44" s="41">
        <f>VLOOKUP(A44,'raw data'!S:Y,6,0)</f>
        <v>98.29</v>
      </c>
      <c r="D44" s="42">
        <f>VLOOKUP(A44,'raw data'!A:G,6,0)</f>
        <v>5911.69</v>
      </c>
      <c r="F44" s="43">
        <f t="shared" ref="F44:H44" si="85">B44/B45-1</f>
        <v>-0.002960850971</v>
      </c>
      <c r="G44" s="43">
        <f t="shared" si="85"/>
        <v>0.02470809008</v>
      </c>
      <c r="H44" s="43">
        <f t="shared" si="85"/>
        <v>0.01876156765</v>
      </c>
      <c r="J44" s="43">
        <f t="shared" ref="J44:L44" si="86">LN(B44/B45)</f>
        <v>-0.002965242961</v>
      </c>
      <c r="K44" s="43">
        <f t="shared" si="86"/>
        <v>0.02440778186</v>
      </c>
      <c r="L44" s="43">
        <f t="shared" si="86"/>
        <v>0.01858774026</v>
      </c>
    </row>
    <row r="45">
      <c r="A45" s="13">
        <v>45796.0</v>
      </c>
      <c r="B45" s="41">
        <f>VLOOKUP(A45,'raw data'!J:P,6,0)</f>
        <v>91.19</v>
      </c>
      <c r="C45" s="41">
        <f>VLOOKUP(A45,'raw data'!S:Y,6,0)</f>
        <v>95.92</v>
      </c>
      <c r="D45" s="42">
        <f>VLOOKUP(A45,'raw data'!A:G,6,0)</f>
        <v>5802.82</v>
      </c>
      <c r="F45" s="43">
        <f t="shared" ref="F45:H45" si="87">B45/B46-1</f>
        <v>-0.03256948865</v>
      </c>
      <c r="G45" s="43">
        <f t="shared" si="87"/>
        <v>-0.01932317759</v>
      </c>
      <c r="H45" s="43">
        <f t="shared" si="87"/>
        <v>-0.02610776755</v>
      </c>
      <c r="J45" s="43">
        <f t="shared" ref="J45:L45" si="88">LN(B45/B46)</f>
        <v>-0.03311167955</v>
      </c>
      <c r="K45" s="43">
        <f t="shared" si="88"/>
        <v>-0.01951231058</v>
      </c>
      <c r="L45" s="43">
        <f t="shared" si="88"/>
        <v>-0.02645462576</v>
      </c>
    </row>
    <row r="46">
      <c r="A46" s="7">
        <v>45789.0</v>
      </c>
      <c r="B46" s="41">
        <f>VLOOKUP(A46,'raw data'!J:P,6,0)</f>
        <v>94.26</v>
      </c>
      <c r="C46" s="41">
        <f>VLOOKUP(A46,'raw data'!S:Y,6,0)</f>
        <v>97.81</v>
      </c>
      <c r="D46" s="42">
        <f>VLOOKUP(A46,'raw data'!A:G,6,0)</f>
        <v>5958.38</v>
      </c>
      <c r="F46" s="43">
        <f t="shared" ref="F46:H46" si="89">B46/B47-1</f>
        <v>0.02256454762</v>
      </c>
      <c r="G46" s="43">
        <f t="shared" si="89"/>
        <v>0.01811179348</v>
      </c>
      <c r="H46" s="43">
        <f t="shared" si="89"/>
        <v>0.05273405408</v>
      </c>
      <c r="J46" s="43">
        <f t="shared" ref="J46:L46" si="90">LN(B46/B47)</f>
        <v>0.0223137342</v>
      </c>
      <c r="K46" s="43">
        <f t="shared" si="90"/>
        <v>0.01794972888</v>
      </c>
      <c r="L46" s="43">
        <f t="shared" si="90"/>
        <v>0.05139064102</v>
      </c>
    </row>
    <row r="47">
      <c r="A47" s="13">
        <v>45782.0</v>
      </c>
      <c r="B47" s="41">
        <f>VLOOKUP(A47,'raw data'!J:P,6,0)</f>
        <v>92.18</v>
      </c>
      <c r="C47" s="41">
        <f>VLOOKUP(A47,'raw data'!S:Y,6,0)</f>
        <v>96.07</v>
      </c>
      <c r="D47" s="42">
        <f>VLOOKUP(A47,'raw data'!A:G,6,0)</f>
        <v>5659.91</v>
      </c>
      <c r="F47" s="43">
        <f t="shared" ref="F47:H47" si="91">B47/B48-1</f>
        <v>-0.009881847476</v>
      </c>
      <c r="G47" s="43">
        <f t="shared" si="91"/>
        <v>-0.02049347471</v>
      </c>
      <c r="H47" s="43">
        <f t="shared" si="91"/>
        <v>-0.004705741673</v>
      </c>
      <c r="J47" s="43">
        <f t="shared" ref="J47:L47" si="92">LN(B47/B48)</f>
        <v>-0.009930996991</v>
      </c>
      <c r="K47" s="43">
        <f t="shared" si="92"/>
        <v>-0.02070637977</v>
      </c>
      <c r="L47" s="43">
        <f t="shared" si="92"/>
        <v>-0.004716848533</v>
      </c>
    </row>
    <row r="48">
      <c r="A48" s="20">
        <v>45775.0</v>
      </c>
      <c r="B48" s="41">
        <f>VLOOKUP(A48,'raw data'!J:P,6,0)</f>
        <v>93.1</v>
      </c>
      <c r="C48" s="41">
        <f>VLOOKUP(A48,'raw data'!S:Y,6,0)</f>
        <v>98.08</v>
      </c>
      <c r="D48" s="42">
        <f>VLOOKUP(A48,'raw data'!A:G,6,0)</f>
        <v>5686.67</v>
      </c>
      <c r="F48" s="43">
        <f t="shared" ref="F48:H48" si="93">B48/B49-1</f>
        <v>0.008121277748</v>
      </c>
      <c r="G48" s="43">
        <f t="shared" si="93"/>
        <v>0.03843303335</v>
      </c>
      <c r="H48" s="43">
        <f t="shared" si="93"/>
        <v>0.0292224187</v>
      </c>
      <c r="J48" s="43">
        <f t="shared" ref="J48:L48" si="94">LN(B48/B49)</f>
        <v>0.008088477638</v>
      </c>
      <c r="K48" s="43">
        <f t="shared" si="94"/>
        <v>0.03771287824</v>
      </c>
      <c r="L48" s="43">
        <f t="shared" si="94"/>
        <v>0.02880358383</v>
      </c>
    </row>
    <row r="49">
      <c r="A49" s="13">
        <v>45768.0</v>
      </c>
      <c r="B49" s="41">
        <f>VLOOKUP(A49,'raw data'!J:P,6,0)</f>
        <v>92.35</v>
      </c>
      <c r="C49" s="41">
        <f>VLOOKUP(A49,'raw data'!S:Y,6,0)</f>
        <v>94.45</v>
      </c>
      <c r="D49" s="42">
        <f>VLOOKUP(A49,'raw data'!A:G,6,0)</f>
        <v>5525.21</v>
      </c>
      <c r="F49" s="43">
        <f t="shared" ref="F49:H49" si="95">B49/B50-1</f>
        <v>0.03729080085</v>
      </c>
      <c r="G49" s="43">
        <f t="shared" si="95"/>
        <v>0.02008856248</v>
      </c>
      <c r="H49" s="43">
        <f t="shared" si="95"/>
        <v>0.04590644935</v>
      </c>
      <c r="J49" s="43">
        <f t="shared" ref="J49:L49" si="96">LN(B49/B50)</f>
        <v>0.03661231506</v>
      </c>
      <c r="K49" s="43">
        <f t="shared" si="96"/>
        <v>0.01988944949</v>
      </c>
      <c r="L49" s="43">
        <f t="shared" si="96"/>
        <v>0.04488392508</v>
      </c>
    </row>
    <row r="50">
      <c r="A50" s="7">
        <v>45761.0</v>
      </c>
      <c r="B50" s="41">
        <f>VLOOKUP(A50,'raw data'!J:P,6,0)</f>
        <v>89.03</v>
      </c>
      <c r="C50" s="41">
        <f>VLOOKUP(A50,'raw data'!S:Y,6,0)</f>
        <v>92.59</v>
      </c>
      <c r="D50" s="42">
        <f>VLOOKUP(A50,'raw data'!A:G,6,0)</f>
        <v>5282.7</v>
      </c>
      <c r="F50" s="43">
        <f t="shared" ref="F50:H50" si="97">B50/B51-1</f>
        <v>0.003494138864</v>
      </c>
      <c r="G50" s="43">
        <f t="shared" si="97"/>
        <v>0.004556797223</v>
      </c>
      <c r="H50" s="43">
        <f t="shared" si="97"/>
        <v>-0.01503907998</v>
      </c>
      <c r="J50" s="43">
        <f t="shared" ref="J50:L50" si="98">LN(B50/B51)</f>
        <v>0.003488048543</v>
      </c>
      <c r="K50" s="43">
        <f t="shared" si="98"/>
        <v>0.004546446454</v>
      </c>
      <c r="L50" s="43">
        <f t="shared" si="98"/>
        <v>-0.0151533137</v>
      </c>
    </row>
    <row r="51">
      <c r="A51" s="13">
        <v>45754.0</v>
      </c>
      <c r="B51" s="41">
        <f>VLOOKUP(A51,'raw data'!J:P,6,0)</f>
        <v>88.72</v>
      </c>
      <c r="C51" s="41">
        <f>VLOOKUP(A51,'raw data'!S:Y,6,0)</f>
        <v>92.17</v>
      </c>
      <c r="D51" s="42">
        <f>VLOOKUP(A51,'raw data'!A:G,6,0)</f>
        <v>5363.36</v>
      </c>
      <c r="F51" s="43">
        <f t="shared" ref="F51:H51" si="99">B51/B52-1</f>
        <v>-0.03070031684</v>
      </c>
      <c r="G51" s="43">
        <f t="shared" si="99"/>
        <v>0.1154544354</v>
      </c>
      <c r="H51" s="43">
        <f t="shared" si="99"/>
        <v>0.05701132028</v>
      </c>
      <c r="J51" s="43">
        <f t="shared" ref="J51:L51" si="100">LN(B51/B52)</f>
        <v>-0.03118144435</v>
      </c>
      <c r="K51" s="43">
        <f t="shared" si="100"/>
        <v>0.1092618873</v>
      </c>
      <c r="L51" s="43">
        <f t="shared" si="100"/>
        <v>0.05544541665</v>
      </c>
    </row>
    <row r="52">
      <c r="A52" s="7">
        <v>45747.0</v>
      </c>
      <c r="B52" s="41">
        <f>VLOOKUP(A52,'raw data'!J:P,6,0)</f>
        <v>91.53</v>
      </c>
      <c r="C52" s="41">
        <f>VLOOKUP(A52,'raw data'!S:Y,6,0)</f>
        <v>82.63</v>
      </c>
      <c r="D52" s="42">
        <f>VLOOKUP(A52,'raw data'!A:G,6,0)</f>
        <v>5074.08</v>
      </c>
      <c r="F52" s="43">
        <f t="shared" ref="F52:H52" si="101">B52/B53-1</f>
        <v>-0.07648067803</v>
      </c>
      <c r="G52" s="43">
        <f t="shared" si="101"/>
        <v>-0.02293957668</v>
      </c>
      <c r="H52" s="43">
        <f t="shared" si="101"/>
        <v>-0.09081982605</v>
      </c>
      <c r="J52" s="43">
        <f t="shared" ref="J52:L52" si="102">LN(B52/B53)</f>
        <v>-0.07956355702</v>
      </c>
      <c r="K52" s="43">
        <f t="shared" si="102"/>
        <v>-0.02320678308</v>
      </c>
      <c r="L52" s="43">
        <f t="shared" si="102"/>
        <v>-0.09521199328</v>
      </c>
    </row>
    <row r="53">
      <c r="A53" s="13">
        <v>45740.0</v>
      </c>
      <c r="B53" s="41">
        <f>VLOOKUP(A53,'raw data'!J:P,6,0)</f>
        <v>99.11</v>
      </c>
      <c r="C53" s="41">
        <f>VLOOKUP(A53,'raw data'!S:Y,6,0)</f>
        <v>84.57</v>
      </c>
      <c r="D53" s="42">
        <f>VLOOKUP(A53,'raw data'!A:G,6,0)</f>
        <v>5580.94</v>
      </c>
      <c r="F53" s="43">
        <f t="shared" ref="F53:H53" si="103">B53/B54-1</f>
        <v>-0.00391959799</v>
      </c>
      <c r="G53" s="43">
        <f t="shared" si="103"/>
        <v>-0.006928135275</v>
      </c>
      <c r="H53" s="43">
        <f t="shared" si="103"/>
        <v>-0.01528347296</v>
      </c>
      <c r="J53" s="43">
        <f t="shared" ref="J53:L53" si="104">LN(B53/B54)</f>
        <v>-0.003927299746</v>
      </c>
      <c r="K53" s="43">
        <f t="shared" si="104"/>
        <v>-0.006952246231</v>
      </c>
      <c r="L53" s="43">
        <f t="shared" si="104"/>
        <v>-0.01540146903</v>
      </c>
    </row>
    <row r="54">
      <c r="A54" s="7">
        <v>45733.0</v>
      </c>
      <c r="B54" s="41">
        <f>VLOOKUP(A54,'raw data'!J:P,6,0)</f>
        <v>99.5</v>
      </c>
      <c r="C54" s="41">
        <f>VLOOKUP(A54,'raw data'!S:Y,6,0)</f>
        <v>85.16</v>
      </c>
      <c r="D54" s="42">
        <f>VLOOKUP(A54,'raw data'!A:G,6,0)</f>
        <v>5667.56</v>
      </c>
      <c r="F54" s="43">
        <f t="shared" ref="F54:H54" si="105">B54/B55-1</f>
        <v>-0.006093297373</v>
      </c>
      <c r="G54" s="43">
        <f t="shared" si="105"/>
        <v>0.007333806482</v>
      </c>
      <c r="H54" s="43">
        <f t="shared" si="105"/>
        <v>0.005075421976</v>
      </c>
      <c r="J54" s="43">
        <f t="shared" ref="J54:L54" si="106">LN(B54/B55)</f>
        <v>-0.006111937267</v>
      </c>
      <c r="K54" s="43">
        <f t="shared" si="106"/>
        <v>0.007307044887</v>
      </c>
      <c r="L54" s="43">
        <f t="shared" si="106"/>
        <v>0.005062585438</v>
      </c>
    </row>
    <row r="55">
      <c r="A55" s="13">
        <v>45726.0</v>
      </c>
      <c r="B55" s="41">
        <f>VLOOKUP(A55,'raw data'!J:P,6,0)</f>
        <v>100.11</v>
      </c>
      <c r="C55" s="41">
        <f>VLOOKUP(A55,'raw data'!S:Y,6,0)</f>
        <v>84.54</v>
      </c>
      <c r="D55" s="42">
        <f>VLOOKUP(A55,'raw data'!A:G,6,0)</f>
        <v>5638.94</v>
      </c>
      <c r="F55" s="43"/>
      <c r="G55" s="43"/>
      <c r="H55" s="43"/>
    </row>
    <row r="56">
      <c r="A56" s="23"/>
      <c r="F56" s="43"/>
      <c r="G56" s="43"/>
      <c r="H56" s="43"/>
    </row>
    <row r="57">
      <c r="A57" s="23"/>
      <c r="F57" s="43"/>
      <c r="G57" s="43"/>
      <c r="H57" s="43"/>
    </row>
    <row r="58">
      <c r="A58" s="26"/>
      <c r="F58" s="43"/>
      <c r="G58" s="43"/>
      <c r="H58" s="43"/>
    </row>
    <row r="59">
      <c r="A59" s="28"/>
      <c r="F59" s="43"/>
      <c r="G59" s="43"/>
      <c r="H59" s="43"/>
    </row>
    <row r="60">
      <c r="A60" s="30"/>
      <c r="F60" s="43"/>
      <c r="G60" s="43"/>
      <c r="H60" s="43"/>
    </row>
    <row r="61">
      <c r="A61" s="32"/>
      <c r="F61" s="43"/>
      <c r="G61" s="43"/>
      <c r="H61" s="43"/>
    </row>
    <row r="62">
      <c r="A62" s="23"/>
      <c r="F62" s="43"/>
      <c r="G62" s="43"/>
      <c r="H62" s="43"/>
    </row>
    <row r="63">
      <c r="A63" s="23"/>
      <c r="F63" s="43"/>
      <c r="G63" s="43"/>
      <c r="H63" s="43"/>
    </row>
    <row r="64">
      <c r="A64" s="23"/>
      <c r="F64" s="43"/>
      <c r="G64" s="43"/>
      <c r="H64" s="43"/>
    </row>
    <row r="65">
      <c r="A65" s="23"/>
      <c r="F65" s="43"/>
      <c r="G65" s="43"/>
      <c r="H65" s="43"/>
    </row>
    <row r="66">
      <c r="A66" s="1"/>
      <c r="F66" s="43"/>
      <c r="G66" s="43"/>
      <c r="H66" s="43"/>
    </row>
    <row r="67">
      <c r="A67" s="23"/>
      <c r="F67" s="43"/>
      <c r="G67" s="43"/>
      <c r="H67" s="43"/>
    </row>
    <row r="68">
      <c r="A68" s="23"/>
      <c r="F68" s="43"/>
      <c r="G68" s="43"/>
      <c r="H68" s="43"/>
    </row>
    <row r="69">
      <c r="A69" s="23"/>
      <c r="F69" s="43"/>
      <c r="G69" s="43"/>
      <c r="H69" s="43"/>
    </row>
    <row r="70">
      <c r="A70" s="23"/>
      <c r="F70" s="43"/>
      <c r="G70" s="43"/>
      <c r="H70" s="43"/>
    </row>
    <row r="71">
      <c r="A71" s="23"/>
      <c r="F71" s="43"/>
      <c r="G71" s="43"/>
      <c r="H71" s="43"/>
    </row>
    <row r="72">
      <c r="A72" s="23"/>
      <c r="F72" s="43"/>
      <c r="G72" s="43"/>
      <c r="H72" s="43"/>
    </row>
    <row r="73">
      <c r="A73" s="23"/>
      <c r="F73" s="43"/>
      <c r="G73" s="43"/>
      <c r="H73" s="43"/>
    </row>
    <row r="74">
      <c r="A74" s="23"/>
      <c r="F74" s="43"/>
      <c r="G74" s="43"/>
      <c r="H74" s="43"/>
    </row>
    <row r="75">
      <c r="A75" s="23"/>
      <c r="F75" s="43"/>
      <c r="G75" s="43"/>
      <c r="H75" s="43"/>
    </row>
    <row r="76">
      <c r="A76" s="23"/>
      <c r="F76" s="43"/>
      <c r="G76" s="43"/>
      <c r="H76" s="43"/>
    </row>
    <row r="77">
      <c r="A77" s="23"/>
      <c r="F77" s="43"/>
      <c r="G77" s="43"/>
      <c r="H77" s="43"/>
    </row>
    <row r="78">
      <c r="A78" s="23"/>
      <c r="F78" s="43"/>
      <c r="G78" s="43"/>
      <c r="H78" s="43"/>
    </row>
    <row r="79">
      <c r="A79" s="23"/>
      <c r="F79" s="43"/>
      <c r="G79" s="43"/>
      <c r="H79" s="43"/>
    </row>
    <row r="80">
      <c r="A80" s="23"/>
      <c r="F80" s="43"/>
      <c r="G80" s="43"/>
      <c r="H80" s="43"/>
    </row>
    <row r="81">
      <c r="A81" s="23"/>
      <c r="F81" s="43"/>
      <c r="G81" s="43"/>
      <c r="H81" s="43"/>
    </row>
    <row r="82">
      <c r="A82" s="23"/>
      <c r="F82" s="43"/>
      <c r="G82" s="43"/>
      <c r="H82" s="43"/>
    </row>
    <row r="83">
      <c r="A83" s="23"/>
      <c r="F83" s="43"/>
      <c r="G83" s="43"/>
      <c r="H83" s="43"/>
    </row>
    <row r="84">
      <c r="A84" s="23"/>
      <c r="F84" s="43"/>
      <c r="G84" s="43"/>
      <c r="H84" s="43"/>
    </row>
    <row r="85">
      <c r="A85" s="23"/>
      <c r="F85" s="43"/>
      <c r="G85" s="43"/>
      <c r="H85" s="43"/>
    </row>
    <row r="86">
      <c r="A86" s="23"/>
      <c r="F86" s="43"/>
      <c r="G86" s="43"/>
      <c r="H86" s="43"/>
    </row>
    <row r="87">
      <c r="A87" s="23"/>
      <c r="F87" s="43"/>
      <c r="G87" s="43"/>
      <c r="H87" s="43"/>
    </row>
    <row r="88">
      <c r="A88" s="23"/>
      <c r="F88" s="43"/>
      <c r="G88" s="43"/>
      <c r="H88" s="43"/>
    </row>
    <row r="89">
      <c r="A89" s="23"/>
      <c r="F89" s="43"/>
      <c r="G89" s="43"/>
      <c r="H89" s="43"/>
    </row>
    <row r="90">
      <c r="A90" s="23"/>
      <c r="F90" s="43"/>
      <c r="G90" s="43"/>
      <c r="H90" s="43"/>
    </row>
    <row r="91">
      <c r="A91" s="23"/>
      <c r="F91" s="43"/>
      <c r="G91" s="43"/>
      <c r="H91" s="43"/>
    </row>
    <row r="92">
      <c r="A92" s="23"/>
      <c r="F92" s="43"/>
      <c r="G92" s="43"/>
      <c r="H92" s="43"/>
    </row>
    <row r="93">
      <c r="A93" s="23"/>
      <c r="F93" s="43"/>
      <c r="G93" s="43"/>
      <c r="H93" s="43"/>
    </row>
    <row r="94">
      <c r="A94" s="23"/>
      <c r="F94" s="43"/>
      <c r="G94" s="43"/>
      <c r="H94" s="43"/>
    </row>
    <row r="95">
      <c r="A95" s="23"/>
      <c r="F95" s="43"/>
      <c r="G95" s="43"/>
      <c r="H95" s="43"/>
    </row>
    <row r="96">
      <c r="A96" s="23"/>
      <c r="F96" s="43"/>
      <c r="G96" s="43"/>
      <c r="H96" s="43"/>
    </row>
    <row r="97">
      <c r="A97" s="23"/>
      <c r="F97" s="43"/>
      <c r="G97" s="43"/>
      <c r="H97" s="43"/>
    </row>
    <row r="98">
      <c r="A98" s="23"/>
      <c r="F98" s="43"/>
      <c r="G98" s="43"/>
      <c r="H98" s="43"/>
    </row>
    <row r="99">
      <c r="A99" s="23"/>
      <c r="F99" s="43"/>
      <c r="G99" s="43"/>
      <c r="H99" s="43"/>
    </row>
    <row r="100">
      <c r="A100" s="23"/>
      <c r="F100" s="43"/>
      <c r="G100" s="43"/>
      <c r="H100" s="43"/>
    </row>
    <row r="101">
      <c r="A101" s="23"/>
      <c r="F101" s="43"/>
      <c r="G101" s="43"/>
      <c r="H101" s="43"/>
    </row>
    <row r="102">
      <c r="A102" s="23"/>
      <c r="F102" s="43"/>
      <c r="G102" s="43"/>
      <c r="H102" s="43"/>
    </row>
    <row r="103">
      <c r="A103" s="23"/>
      <c r="F103" s="43"/>
      <c r="G103" s="43"/>
      <c r="H103" s="43"/>
    </row>
    <row r="104">
      <c r="A104" s="23"/>
      <c r="F104" s="43"/>
      <c r="G104" s="43"/>
      <c r="H104" s="43"/>
    </row>
    <row r="105">
      <c r="A105" s="23"/>
      <c r="F105" s="43"/>
      <c r="G105" s="43"/>
      <c r="H105" s="43"/>
    </row>
    <row r="106">
      <c r="A106" s="23"/>
      <c r="F106" s="43"/>
      <c r="G106" s="43"/>
      <c r="H106" s="43"/>
    </row>
    <row r="107">
      <c r="A107" s="23"/>
      <c r="F107" s="43"/>
      <c r="G107" s="43"/>
      <c r="H107" s="43"/>
    </row>
    <row r="108">
      <c r="A108" s="23"/>
      <c r="F108" s="43"/>
      <c r="G108" s="43"/>
      <c r="H108" s="43"/>
    </row>
    <row r="109">
      <c r="A109" s="23"/>
      <c r="F109" s="43"/>
      <c r="G109" s="43"/>
      <c r="H109" s="43"/>
    </row>
    <row r="110">
      <c r="A110" s="23"/>
      <c r="F110" s="43"/>
      <c r="G110" s="43"/>
      <c r="H110" s="43"/>
    </row>
    <row r="111">
      <c r="A111" s="23"/>
      <c r="F111" s="43"/>
      <c r="G111" s="43"/>
      <c r="H111" s="43"/>
    </row>
    <row r="112">
      <c r="A112" s="23"/>
      <c r="F112" s="43"/>
      <c r="G112" s="43"/>
      <c r="H112" s="43"/>
    </row>
    <row r="113">
      <c r="A113" s="23"/>
      <c r="F113" s="43"/>
      <c r="G113" s="43"/>
      <c r="H113" s="43"/>
    </row>
    <row r="114">
      <c r="A114" s="23"/>
      <c r="F114" s="43"/>
      <c r="G114" s="43"/>
      <c r="H114" s="43"/>
    </row>
    <row r="115">
      <c r="A115" s="23"/>
      <c r="F115" s="43"/>
      <c r="G115" s="43"/>
      <c r="H115" s="43"/>
    </row>
    <row r="116">
      <c r="A116" s="23"/>
      <c r="F116" s="43"/>
      <c r="G116" s="43"/>
      <c r="H116" s="43"/>
    </row>
    <row r="117">
      <c r="A117" s="23"/>
      <c r="F117" s="43"/>
      <c r="G117" s="43"/>
      <c r="H117" s="43"/>
    </row>
    <row r="118">
      <c r="A118" s="23"/>
      <c r="F118" s="43"/>
      <c r="G118" s="43"/>
      <c r="H118" s="43"/>
    </row>
    <row r="119">
      <c r="A119" s="23"/>
      <c r="F119" s="43"/>
      <c r="G119" s="43"/>
      <c r="H119" s="43"/>
    </row>
    <row r="120">
      <c r="A120" s="23"/>
      <c r="F120" s="43"/>
      <c r="G120" s="43"/>
      <c r="H120" s="43"/>
    </row>
    <row r="121">
      <c r="A121" s="23"/>
      <c r="F121" s="43"/>
      <c r="G121" s="43"/>
      <c r="H121" s="43"/>
    </row>
    <row r="122">
      <c r="A122" s="23"/>
      <c r="F122" s="43"/>
      <c r="G122" s="43"/>
      <c r="H122" s="43"/>
    </row>
    <row r="123">
      <c r="A123" s="23"/>
      <c r="F123" s="43"/>
      <c r="G123" s="43"/>
      <c r="H123" s="43"/>
    </row>
    <row r="124">
      <c r="A124" s="23"/>
      <c r="F124" s="43"/>
      <c r="G124" s="43"/>
      <c r="H124" s="43"/>
    </row>
    <row r="125">
      <c r="A125" s="23"/>
      <c r="F125" s="43"/>
      <c r="G125" s="43"/>
      <c r="H125" s="43"/>
    </row>
    <row r="126">
      <c r="A126" s="23"/>
      <c r="F126" s="43"/>
      <c r="G126" s="43"/>
      <c r="H126" s="43"/>
    </row>
    <row r="127">
      <c r="A127" s="23"/>
      <c r="F127" s="43"/>
      <c r="G127" s="43"/>
      <c r="H127" s="43"/>
    </row>
    <row r="128">
      <c r="A128" s="23"/>
      <c r="F128" s="43"/>
      <c r="G128" s="43"/>
      <c r="H128" s="43"/>
    </row>
    <row r="129">
      <c r="A129" s="23"/>
      <c r="F129" s="43"/>
      <c r="G129" s="43"/>
      <c r="H129" s="43"/>
    </row>
    <row r="130">
      <c r="A130" s="23"/>
      <c r="F130" s="43"/>
      <c r="G130" s="43"/>
      <c r="H130" s="43"/>
    </row>
    <row r="131">
      <c r="A131" s="23"/>
      <c r="F131" s="43"/>
      <c r="G131" s="43"/>
      <c r="H131" s="43"/>
    </row>
    <row r="132">
      <c r="A132" s="23"/>
      <c r="F132" s="43"/>
      <c r="G132" s="43"/>
      <c r="H132" s="43"/>
    </row>
    <row r="133">
      <c r="A133" s="23"/>
      <c r="F133" s="43"/>
      <c r="G133" s="43"/>
      <c r="H133" s="43"/>
    </row>
    <row r="134">
      <c r="A134" s="23"/>
      <c r="F134" s="43"/>
      <c r="G134" s="43"/>
      <c r="H134" s="43"/>
    </row>
    <row r="135">
      <c r="A135" s="23"/>
      <c r="F135" s="43"/>
      <c r="G135" s="43"/>
      <c r="H135" s="43"/>
    </row>
    <row r="136">
      <c r="A136" s="23"/>
      <c r="F136" s="43"/>
      <c r="G136" s="43"/>
      <c r="H136" s="43"/>
    </row>
    <row r="137">
      <c r="A137" s="23"/>
      <c r="F137" s="43"/>
      <c r="G137" s="43"/>
      <c r="H137" s="43"/>
    </row>
    <row r="138">
      <c r="A138" s="23"/>
      <c r="F138" s="43"/>
      <c r="G138" s="43"/>
      <c r="H138" s="43"/>
    </row>
    <row r="139">
      <c r="A139" s="23"/>
      <c r="F139" s="43"/>
      <c r="G139" s="43"/>
      <c r="H139" s="43"/>
    </row>
    <row r="140">
      <c r="A140" s="23"/>
      <c r="F140" s="43"/>
      <c r="G140" s="43"/>
      <c r="H140" s="43"/>
    </row>
    <row r="141">
      <c r="A141" s="23"/>
      <c r="F141" s="43"/>
      <c r="G141" s="43"/>
      <c r="H141" s="43"/>
    </row>
    <row r="142">
      <c r="A142" s="23"/>
      <c r="F142" s="43"/>
      <c r="G142" s="43"/>
      <c r="H142" s="43"/>
    </row>
    <row r="143">
      <c r="A143" s="23"/>
      <c r="F143" s="43"/>
      <c r="G143" s="43"/>
      <c r="H143" s="43"/>
    </row>
    <row r="144">
      <c r="A144" s="23"/>
      <c r="F144" s="43"/>
      <c r="G144" s="43"/>
      <c r="H144" s="43"/>
    </row>
    <row r="145">
      <c r="A145" s="23"/>
      <c r="F145" s="43"/>
      <c r="G145" s="43"/>
      <c r="H145" s="43"/>
    </row>
    <row r="146">
      <c r="A146" s="23"/>
      <c r="F146" s="43"/>
      <c r="G146" s="43"/>
      <c r="H146" s="43"/>
    </row>
    <row r="147">
      <c r="A147" s="23"/>
      <c r="F147" s="43"/>
      <c r="G147" s="43"/>
      <c r="H147" s="43"/>
    </row>
    <row r="148">
      <c r="A148" s="23"/>
      <c r="F148" s="43"/>
      <c r="G148" s="43"/>
      <c r="H148" s="43"/>
    </row>
    <row r="149">
      <c r="A149" s="23"/>
      <c r="F149" s="43"/>
      <c r="G149" s="43"/>
      <c r="H149" s="43"/>
    </row>
    <row r="150">
      <c r="A150" s="23"/>
      <c r="F150" s="43"/>
      <c r="G150" s="43"/>
      <c r="H150" s="43"/>
    </row>
    <row r="151">
      <c r="A151" s="23"/>
      <c r="F151" s="43"/>
      <c r="G151" s="43"/>
      <c r="H151" s="43"/>
    </row>
    <row r="152">
      <c r="A152" s="23"/>
      <c r="F152" s="43"/>
      <c r="G152" s="43"/>
      <c r="H152" s="43"/>
    </row>
    <row r="153">
      <c r="A153" s="23"/>
      <c r="F153" s="43"/>
      <c r="G153" s="43"/>
      <c r="H153" s="43"/>
    </row>
    <row r="154">
      <c r="A154" s="23"/>
      <c r="F154" s="43"/>
      <c r="G154" s="43"/>
      <c r="H154" s="43"/>
    </row>
    <row r="155">
      <c r="A155" s="23"/>
      <c r="F155" s="43"/>
      <c r="G155" s="43"/>
      <c r="H155" s="43"/>
    </row>
    <row r="156">
      <c r="A156" s="23"/>
      <c r="F156" s="43"/>
      <c r="G156" s="43"/>
      <c r="H156" s="43"/>
    </row>
    <row r="157">
      <c r="A157" s="23"/>
      <c r="F157" s="43"/>
      <c r="G157" s="43"/>
      <c r="H157" s="43"/>
    </row>
    <row r="158">
      <c r="A158" s="23"/>
      <c r="F158" s="43"/>
      <c r="G158" s="43"/>
      <c r="H158" s="43"/>
    </row>
    <row r="159">
      <c r="A159" s="23"/>
      <c r="F159" s="43"/>
      <c r="G159" s="43"/>
      <c r="H159" s="43"/>
    </row>
    <row r="160">
      <c r="A160" s="23"/>
      <c r="F160" s="43"/>
      <c r="G160" s="43"/>
      <c r="H160" s="43"/>
    </row>
    <row r="161">
      <c r="A161" s="23"/>
      <c r="F161" s="43"/>
      <c r="G161" s="43"/>
      <c r="H161" s="43"/>
    </row>
    <row r="162">
      <c r="A162" s="23"/>
      <c r="F162" s="43"/>
      <c r="G162" s="43"/>
      <c r="H162" s="43"/>
    </row>
    <row r="163">
      <c r="A163" s="23"/>
      <c r="F163" s="43"/>
      <c r="G163" s="43"/>
      <c r="H163" s="43"/>
    </row>
    <row r="164">
      <c r="A164" s="23"/>
      <c r="F164" s="43"/>
      <c r="G164" s="43"/>
      <c r="H164" s="43"/>
    </row>
    <row r="165">
      <c r="A165" s="23"/>
      <c r="F165" s="43"/>
      <c r="G165" s="43"/>
      <c r="H165" s="43"/>
    </row>
    <row r="166">
      <c r="A166" s="23"/>
      <c r="F166" s="43"/>
      <c r="G166" s="43"/>
      <c r="H166" s="43"/>
    </row>
    <row r="167">
      <c r="A167" s="23"/>
      <c r="F167" s="43"/>
      <c r="G167" s="43"/>
      <c r="H167" s="43"/>
    </row>
    <row r="168">
      <c r="A168" s="23"/>
      <c r="F168" s="43"/>
      <c r="G168" s="43"/>
      <c r="H168" s="43"/>
    </row>
    <row r="169">
      <c r="A169" s="23"/>
      <c r="F169" s="43"/>
      <c r="G169" s="43"/>
      <c r="H169" s="43"/>
    </row>
    <row r="170">
      <c r="A170" s="23"/>
      <c r="F170" s="43"/>
      <c r="G170" s="43"/>
      <c r="H170" s="43"/>
    </row>
    <row r="171">
      <c r="A171" s="23"/>
      <c r="F171" s="43"/>
      <c r="G171" s="43"/>
      <c r="H171" s="43"/>
    </row>
    <row r="172">
      <c r="A172" s="23"/>
      <c r="F172" s="43"/>
      <c r="G172" s="43"/>
      <c r="H172" s="43"/>
    </row>
    <row r="173">
      <c r="A173" s="23"/>
      <c r="F173" s="43"/>
      <c r="G173" s="43"/>
      <c r="H173" s="43"/>
    </row>
    <row r="174">
      <c r="A174" s="23"/>
      <c r="F174" s="43"/>
      <c r="G174" s="43"/>
      <c r="H174" s="43"/>
    </row>
    <row r="175">
      <c r="A175" s="23"/>
      <c r="F175" s="43"/>
      <c r="G175" s="43"/>
      <c r="H175" s="43"/>
    </row>
    <row r="176">
      <c r="A176" s="23"/>
      <c r="F176" s="43"/>
      <c r="G176" s="43"/>
      <c r="H176" s="43"/>
    </row>
    <row r="177">
      <c r="A177" s="23"/>
      <c r="F177" s="43"/>
      <c r="G177" s="43"/>
      <c r="H177" s="43"/>
    </row>
    <row r="178">
      <c r="A178" s="23"/>
      <c r="F178" s="43"/>
      <c r="G178" s="43"/>
      <c r="H178" s="43"/>
    </row>
    <row r="179">
      <c r="A179" s="23"/>
      <c r="F179" s="43"/>
      <c r="G179" s="43"/>
      <c r="H179" s="43"/>
    </row>
    <row r="180">
      <c r="A180" s="23"/>
      <c r="F180" s="43"/>
      <c r="G180" s="43"/>
      <c r="H180" s="43"/>
    </row>
    <row r="181">
      <c r="A181" s="23"/>
      <c r="F181" s="43"/>
      <c r="G181" s="43"/>
      <c r="H181" s="43"/>
    </row>
    <row r="182">
      <c r="A182" s="23"/>
      <c r="F182" s="43"/>
      <c r="G182" s="43"/>
      <c r="H182" s="43"/>
    </row>
    <row r="183">
      <c r="A183" s="23"/>
      <c r="F183" s="43"/>
      <c r="G183" s="43"/>
      <c r="H183" s="43"/>
    </row>
    <row r="184">
      <c r="A184" s="23"/>
      <c r="F184" s="43"/>
      <c r="G184" s="43"/>
      <c r="H184" s="43"/>
    </row>
    <row r="185">
      <c r="A185" s="23"/>
      <c r="F185" s="43"/>
      <c r="G185" s="43"/>
      <c r="H185" s="43"/>
    </row>
    <row r="186">
      <c r="A186" s="23"/>
      <c r="F186" s="43"/>
      <c r="G186" s="43"/>
      <c r="H186" s="43"/>
    </row>
    <row r="187">
      <c r="A187" s="23"/>
      <c r="F187" s="43"/>
      <c r="G187" s="43"/>
      <c r="H187" s="43"/>
    </row>
    <row r="188">
      <c r="A188" s="23"/>
      <c r="F188" s="43"/>
      <c r="G188" s="43"/>
      <c r="H188" s="43"/>
    </row>
    <row r="189">
      <c r="A189" s="23"/>
      <c r="F189" s="43"/>
      <c r="G189" s="43"/>
      <c r="H189" s="43"/>
    </row>
    <row r="190">
      <c r="A190" s="23"/>
      <c r="F190" s="43"/>
      <c r="G190" s="43"/>
      <c r="H190" s="43"/>
    </row>
    <row r="191">
      <c r="A191" s="23"/>
      <c r="F191" s="43"/>
      <c r="G191" s="43"/>
      <c r="H191" s="43"/>
    </row>
    <row r="192">
      <c r="A192" s="23"/>
      <c r="F192" s="43"/>
      <c r="G192" s="43"/>
      <c r="H192" s="43"/>
    </row>
    <row r="193">
      <c r="A193" s="23"/>
      <c r="F193" s="43"/>
      <c r="G193" s="43"/>
      <c r="H193" s="43"/>
    </row>
    <row r="194">
      <c r="A194" s="23"/>
      <c r="F194" s="43"/>
      <c r="G194" s="43"/>
      <c r="H194" s="43"/>
    </row>
    <row r="195">
      <c r="A195" s="23"/>
      <c r="F195" s="43"/>
      <c r="G195" s="43"/>
      <c r="H195" s="43"/>
    </row>
    <row r="196">
      <c r="A196" s="23"/>
      <c r="F196" s="43"/>
      <c r="G196" s="43"/>
      <c r="H196" s="43"/>
    </row>
    <row r="197">
      <c r="A197" s="23"/>
      <c r="F197" s="43"/>
      <c r="G197" s="43"/>
      <c r="H197" s="43"/>
    </row>
    <row r="198">
      <c r="A198" s="23"/>
      <c r="F198" s="43"/>
      <c r="G198" s="43"/>
      <c r="H198" s="43"/>
    </row>
    <row r="199">
      <c r="A199" s="23"/>
      <c r="F199" s="43"/>
      <c r="G199" s="43"/>
      <c r="H199" s="43"/>
    </row>
    <row r="200">
      <c r="A200" s="23"/>
      <c r="F200" s="43"/>
      <c r="G200" s="43"/>
      <c r="H200" s="43"/>
    </row>
    <row r="201">
      <c r="A201" s="23"/>
      <c r="F201" s="43"/>
      <c r="G201" s="43"/>
      <c r="H201" s="43"/>
    </row>
    <row r="202">
      <c r="A202" s="23"/>
      <c r="F202" s="43"/>
      <c r="G202" s="43"/>
      <c r="H202" s="43"/>
    </row>
    <row r="203">
      <c r="A203" s="23"/>
      <c r="F203" s="43"/>
      <c r="G203" s="43"/>
      <c r="H203" s="43"/>
    </row>
    <row r="204">
      <c r="A204" s="23"/>
      <c r="F204" s="43"/>
      <c r="G204" s="43"/>
      <c r="H204" s="43"/>
    </row>
    <row r="205">
      <c r="A205" s="23"/>
      <c r="F205" s="43"/>
      <c r="G205" s="43"/>
      <c r="H205" s="43"/>
    </row>
    <row r="206">
      <c r="A206" s="23"/>
      <c r="F206" s="43"/>
      <c r="G206" s="43"/>
      <c r="H206" s="43"/>
    </row>
    <row r="207">
      <c r="A207" s="23"/>
      <c r="F207" s="43"/>
      <c r="G207" s="43"/>
      <c r="H207" s="43"/>
    </row>
    <row r="208">
      <c r="A208" s="23"/>
      <c r="F208" s="43"/>
      <c r="G208" s="43"/>
      <c r="H208" s="43"/>
    </row>
    <row r="209">
      <c r="A209" s="23"/>
      <c r="F209" s="43"/>
      <c r="G209" s="43"/>
      <c r="H209" s="43"/>
    </row>
    <row r="210">
      <c r="A210" s="23"/>
      <c r="F210" s="43"/>
      <c r="G210" s="43"/>
      <c r="H210" s="43"/>
    </row>
    <row r="211">
      <c r="A211" s="23"/>
      <c r="F211" s="43"/>
      <c r="G211" s="43"/>
      <c r="H211" s="43"/>
    </row>
    <row r="212">
      <c r="A212" s="23"/>
      <c r="F212" s="43"/>
      <c r="G212" s="43"/>
      <c r="H212" s="43"/>
    </row>
    <row r="213">
      <c r="A213" s="23"/>
      <c r="F213" s="43"/>
      <c r="G213" s="43"/>
      <c r="H213" s="43"/>
    </row>
    <row r="214">
      <c r="A214" s="23"/>
      <c r="F214" s="43"/>
      <c r="G214" s="43"/>
      <c r="H214" s="43"/>
    </row>
    <row r="215">
      <c r="A215" s="23"/>
      <c r="F215" s="43"/>
      <c r="G215" s="43"/>
      <c r="H215" s="43"/>
    </row>
    <row r="216">
      <c r="A216" s="23"/>
      <c r="F216" s="43"/>
      <c r="G216" s="43"/>
      <c r="H216" s="43"/>
    </row>
    <row r="217">
      <c r="A217" s="23"/>
      <c r="F217" s="43"/>
      <c r="G217" s="43"/>
      <c r="H217" s="43"/>
    </row>
    <row r="218">
      <c r="A218" s="23"/>
      <c r="F218" s="43"/>
      <c r="G218" s="43"/>
      <c r="H218" s="43"/>
    </row>
    <row r="219">
      <c r="A219" s="23"/>
      <c r="F219" s="43"/>
      <c r="G219" s="43"/>
      <c r="H219" s="43"/>
    </row>
    <row r="220">
      <c r="A220" s="23"/>
      <c r="F220" s="43"/>
      <c r="G220" s="43"/>
      <c r="H220" s="43"/>
    </row>
    <row r="221">
      <c r="A221" s="23"/>
      <c r="F221" s="43"/>
      <c r="G221" s="43"/>
      <c r="H221" s="43"/>
    </row>
    <row r="222">
      <c r="A222" s="23"/>
      <c r="F222" s="43"/>
      <c r="G222" s="43"/>
      <c r="H222" s="43"/>
    </row>
    <row r="223">
      <c r="A223" s="23"/>
      <c r="F223" s="43"/>
      <c r="G223" s="43"/>
      <c r="H223" s="43"/>
    </row>
    <row r="224">
      <c r="A224" s="23"/>
      <c r="F224" s="43"/>
      <c r="G224" s="43"/>
      <c r="H224" s="43"/>
    </row>
    <row r="225">
      <c r="A225" s="23"/>
      <c r="F225" s="43"/>
      <c r="G225" s="43"/>
      <c r="H225" s="43"/>
    </row>
    <row r="226">
      <c r="A226" s="23"/>
      <c r="F226" s="43"/>
      <c r="G226" s="43"/>
      <c r="H226" s="43"/>
    </row>
    <row r="227">
      <c r="A227" s="23"/>
      <c r="F227" s="43"/>
      <c r="G227" s="43"/>
      <c r="H227" s="43"/>
    </row>
    <row r="228">
      <c r="A228" s="23"/>
      <c r="F228" s="43"/>
      <c r="G228" s="43"/>
      <c r="H228" s="43"/>
    </row>
    <row r="229">
      <c r="A229" s="23"/>
      <c r="F229" s="43"/>
      <c r="G229" s="43"/>
      <c r="H229" s="43"/>
    </row>
    <row r="230">
      <c r="A230" s="23"/>
      <c r="F230" s="43"/>
      <c r="G230" s="43"/>
      <c r="H230" s="43"/>
    </row>
    <row r="231">
      <c r="A231" s="23"/>
      <c r="F231" s="43"/>
      <c r="G231" s="43"/>
      <c r="H231" s="43"/>
    </row>
    <row r="232">
      <c r="A232" s="23"/>
      <c r="F232" s="43"/>
      <c r="G232" s="43"/>
      <c r="H232" s="43"/>
    </row>
    <row r="233">
      <c r="A233" s="23"/>
      <c r="F233" s="43"/>
      <c r="G233" s="43"/>
      <c r="H233" s="43"/>
    </row>
    <row r="234">
      <c r="A234" s="23"/>
      <c r="F234" s="43"/>
      <c r="G234" s="43"/>
      <c r="H234" s="43"/>
    </row>
    <row r="235">
      <c r="A235" s="23"/>
      <c r="F235" s="43"/>
      <c r="G235" s="43"/>
      <c r="H235" s="43"/>
    </row>
    <row r="236">
      <c r="A236" s="23"/>
      <c r="F236" s="43"/>
      <c r="G236" s="43"/>
      <c r="H236" s="43"/>
    </row>
    <row r="237">
      <c r="A237" s="23"/>
      <c r="F237" s="43"/>
      <c r="G237" s="43"/>
      <c r="H237" s="43"/>
    </row>
    <row r="238">
      <c r="A238" s="23"/>
      <c r="F238" s="43"/>
      <c r="G238" s="43"/>
      <c r="H238" s="43"/>
    </row>
    <row r="239">
      <c r="A239" s="23"/>
      <c r="F239" s="43"/>
      <c r="G239" s="43"/>
      <c r="H239" s="43"/>
    </row>
    <row r="240">
      <c r="A240" s="23"/>
      <c r="F240" s="43"/>
      <c r="G240" s="43"/>
      <c r="H240" s="43"/>
    </row>
    <row r="241">
      <c r="A241" s="23"/>
      <c r="F241" s="43"/>
      <c r="G241" s="43"/>
      <c r="H241" s="43"/>
    </row>
    <row r="242">
      <c r="A242" s="23"/>
      <c r="F242" s="43"/>
      <c r="G242" s="43"/>
      <c r="H242" s="43"/>
    </row>
    <row r="243">
      <c r="A243" s="23"/>
      <c r="F243" s="43"/>
      <c r="G243" s="43"/>
      <c r="H243" s="43"/>
    </row>
    <row r="244">
      <c r="A244" s="23"/>
      <c r="F244" s="43"/>
      <c r="G244" s="43"/>
      <c r="H244" s="43"/>
    </row>
    <row r="245">
      <c r="A245" s="23"/>
      <c r="F245" s="43"/>
      <c r="G245" s="43"/>
      <c r="H245" s="43"/>
    </row>
    <row r="246">
      <c r="A246" s="23"/>
      <c r="F246" s="43"/>
      <c r="G246" s="43"/>
      <c r="H246" s="43"/>
    </row>
    <row r="247">
      <c r="A247" s="23"/>
      <c r="F247" s="43"/>
      <c r="G247" s="43"/>
      <c r="H247" s="43"/>
    </row>
    <row r="248">
      <c r="A248" s="23"/>
      <c r="F248" s="43"/>
      <c r="G248" s="43"/>
      <c r="H248" s="43"/>
    </row>
    <row r="249">
      <c r="A249" s="23"/>
      <c r="F249" s="43"/>
      <c r="G249" s="43"/>
      <c r="H249" s="43"/>
    </row>
    <row r="250">
      <c r="A250" s="23"/>
      <c r="F250" s="43"/>
      <c r="G250" s="43"/>
      <c r="H250" s="43"/>
    </row>
    <row r="251">
      <c r="A251" s="23"/>
      <c r="F251" s="43"/>
      <c r="G251" s="43"/>
      <c r="H251" s="43"/>
    </row>
    <row r="252">
      <c r="A252" s="23"/>
      <c r="F252" s="43"/>
      <c r="G252" s="43"/>
      <c r="H252" s="43"/>
    </row>
    <row r="253">
      <c r="A253" s="23"/>
      <c r="F253" s="43"/>
      <c r="G253" s="43"/>
      <c r="H253" s="43"/>
    </row>
    <row r="254">
      <c r="A254" s="23"/>
      <c r="F254" s="43"/>
      <c r="G254" s="43"/>
      <c r="H254" s="43"/>
    </row>
    <row r="255">
      <c r="A255" s="23"/>
      <c r="F255" s="43"/>
      <c r="G255" s="43"/>
      <c r="H255" s="43"/>
    </row>
    <row r="256">
      <c r="A256" s="23"/>
      <c r="F256" s="43"/>
      <c r="G256" s="43"/>
      <c r="H256" s="43"/>
    </row>
    <row r="257">
      <c r="A257" s="23"/>
      <c r="F257" s="43"/>
      <c r="G257" s="43"/>
      <c r="H257" s="43"/>
    </row>
    <row r="258">
      <c r="A258" s="23"/>
      <c r="F258" s="43"/>
      <c r="G258" s="43"/>
      <c r="H258" s="43"/>
    </row>
    <row r="259">
      <c r="A259" s="23"/>
      <c r="F259" s="43"/>
      <c r="G259" s="43"/>
      <c r="H259" s="43"/>
    </row>
    <row r="260">
      <c r="A260" s="23"/>
      <c r="F260" s="43"/>
      <c r="G260" s="43"/>
      <c r="H260" s="43"/>
    </row>
    <row r="261">
      <c r="A261" s="23"/>
      <c r="F261" s="43"/>
      <c r="G261" s="43"/>
      <c r="H261" s="43"/>
    </row>
    <row r="262">
      <c r="A262" s="23"/>
      <c r="F262" s="43"/>
      <c r="G262" s="43"/>
      <c r="H262" s="43"/>
    </row>
    <row r="263">
      <c r="A263" s="23"/>
      <c r="F263" s="43"/>
      <c r="G263" s="43"/>
      <c r="H263" s="43"/>
    </row>
    <row r="264">
      <c r="A264" s="23"/>
      <c r="F264" s="43"/>
      <c r="G264" s="43"/>
      <c r="H264" s="43"/>
    </row>
    <row r="265">
      <c r="A265" s="23"/>
      <c r="F265" s="43"/>
      <c r="G265" s="43"/>
      <c r="H265" s="43"/>
    </row>
    <row r="266">
      <c r="A266" s="23"/>
      <c r="F266" s="43"/>
      <c r="G266" s="43"/>
      <c r="H266" s="43"/>
    </row>
    <row r="267">
      <c r="A267" s="23"/>
      <c r="F267" s="43"/>
      <c r="G267" s="43"/>
      <c r="H267" s="43"/>
    </row>
    <row r="268">
      <c r="A268" s="23"/>
      <c r="F268" s="43"/>
      <c r="G268" s="43"/>
      <c r="H268" s="43"/>
    </row>
    <row r="269">
      <c r="A269" s="23"/>
      <c r="F269" s="43"/>
      <c r="G269" s="43"/>
      <c r="H269" s="43"/>
    </row>
    <row r="270">
      <c r="A270" s="23"/>
      <c r="F270" s="43"/>
      <c r="G270" s="43"/>
      <c r="H270" s="43"/>
    </row>
    <row r="271">
      <c r="A271" s="23"/>
      <c r="F271" s="43"/>
      <c r="G271" s="43"/>
      <c r="H271" s="43"/>
    </row>
    <row r="272">
      <c r="A272" s="23"/>
      <c r="F272" s="43"/>
      <c r="G272" s="43"/>
      <c r="H272" s="43"/>
    </row>
    <row r="273">
      <c r="A273" s="23"/>
      <c r="F273" s="43"/>
      <c r="G273" s="43"/>
      <c r="H273" s="43"/>
    </row>
    <row r="274">
      <c r="A274" s="23"/>
      <c r="F274" s="43"/>
      <c r="G274" s="43"/>
      <c r="H274" s="43"/>
    </row>
    <row r="275">
      <c r="A275" s="23"/>
      <c r="F275" s="43"/>
      <c r="G275" s="43"/>
      <c r="H275" s="43"/>
    </row>
    <row r="276">
      <c r="A276" s="23"/>
      <c r="F276" s="43"/>
      <c r="G276" s="43"/>
      <c r="H276" s="43"/>
    </row>
    <row r="277">
      <c r="A277" s="23"/>
      <c r="F277" s="43"/>
      <c r="G277" s="43"/>
      <c r="H277" s="43"/>
    </row>
    <row r="278">
      <c r="A278" s="23"/>
      <c r="F278" s="43"/>
      <c r="G278" s="43"/>
      <c r="H278" s="43"/>
    </row>
    <row r="279">
      <c r="A279" s="23"/>
      <c r="F279" s="43"/>
      <c r="G279" s="43"/>
      <c r="H279" s="43"/>
    </row>
    <row r="280">
      <c r="A280" s="23"/>
      <c r="F280" s="43"/>
      <c r="G280" s="43"/>
      <c r="H280" s="43"/>
    </row>
    <row r="281">
      <c r="A281" s="23"/>
      <c r="F281" s="43"/>
      <c r="G281" s="43"/>
      <c r="H281" s="43"/>
    </row>
    <row r="282">
      <c r="A282" s="23"/>
      <c r="F282" s="43"/>
      <c r="G282" s="43"/>
      <c r="H282" s="43"/>
    </row>
    <row r="283">
      <c r="A283" s="23"/>
      <c r="F283" s="43"/>
      <c r="G283" s="43"/>
      <c r="H283" s="43"/>
    </row>
    <row r="284">
      <c r="A284" s="23"/>
      <c r="F284" s="43"/>
      <c r="G284" s="43"/>
      <c r="H284" s="43"/>
    </row>
    <row r="285">
      <c r="A285" s="23"/>
      <c r="F285" s="43"/>
      <c r="G285" s="43"/>
      <c r="H285" s="43"/>
    </row>
    <row r="286">
      <c r="A286" s="23"/>
      <c r="F286" s="43"/>
      <c r="G286" s="43"/>
      <c r="H286" s="43"/>
    </row>
    <row r="287">
      <c r="A287" s="23"/>
      <c r="F287" s="43"/>
      <c r="G287" s="43"/>
      <c r="H287" s="43"/>
    </row>
    <row r="288">
      <c r="A288" s="23"/>
      <c r="F288" s="43"/>
      <c r="G288" s="43"/>
      <c r="H288" s="43"/>
    </row>
    <row r="289">
      <c r="A289" s="23"/>
      <c r="F289" s="43"/>
      <c r="G289" s="43"/>
      <c r="H289" s="43"/>
    </row>
    <row r="290">
      <c r="A290" s="23"/>
      <c r="F290" s="43"/>
      <c r="G290" s="43"/>
      <c r="H290" s="43"/>
    </row>
    <row r="291">
      <c r="A291" s="23"/>
      <c r="F291" s="43"/>
      <c r="G291" s="43"/>
      <c r="H291" s="43"/>
    </row>
    <row r="292">
      <c r="A292" s="23"/>
      <c r="F292" s="43"/>
      <c r="G292" s="43"/>
      <c r="H292" s="43"/>
    </row>
    <row r="293">
      <c r="A293" s="23"/>
      <c r="F293" s="43"/>
      <c r="G293" s="43"/>
      <c r="H293" s="43"/>
    </row>
    <row r="294">
      <c r="A294" s="23"/>
      <c r="F294" s="43"/>
      <c r="G294" s="43"/>
      <c r="H294" s="43"/>
    </row>
    <row r="295">
      <c r="A295" s="23"/>
      <c r="F295" s="43"/>
      <c r="G295" s="43"/>
      <c r="H295" s="43"/>
    </row>
    <row r="296">
      <c r="A296" s="23"/>
      <c r="F296" s="43"/>
      <c r="G296" s="43"/>
      <c r="H296" s="43"/>
    </row>
    <row r="297">
      <c r="A297" s="23"/>
      <c r="F297" s="43"/>
      <c r="G297" s="43"/>
      <c r="H297" s="43"/>
    </row>
    <row r="298">
      <c r="A298" s="23"/>
      <c r="F298" s="43"/>
      <c r="G298" s="43"/>
      <c r="H298" s="43"/>
    </row>
    <row r="299">
      <c r="A299" s="23"/>
      <c r="F299" s="43"/>
      <c r="G299" s="43"/>
      <c r="H299" s="43"/>
    </row>
    <row r="300">
      <c r="A300" s="23"/>
      <c r="F300" s="43"/>
      <c r="G300" s="43"/>
      <c r="H300" s="43"/>
    </row>
    <row r="301">
      <c r="A301" s="23"/>
      <c r="F301" s="43"/>
      <c r="G301" s="43"/>
      <c r="H301" s="43"/>
    </row>
    <row r="302">
      <c r="A302" s="23"/>
      <c r="F302" s="43"/>
      <c r="G302" s="43"/>
      <c r="H302" s="43"/>
    </row>
    <row r="303">
      <c r="A303" s="23"/>
      <c r="F303" s="43"/>
      <c r="G303" s="43"/>
      <c r="H303" s="43"/>
    </row>
    <row r="304">
      <c r="A304" s="23"/>
      <c r="F304" s="43"/>
      <c r="G304" s="43"/>
      <c r="H304" s="43"/>
    </row>
    <row r="305">
      <c r="A305" s="23"/>
      <c r="F305" s="43"/>
      <c r="G305" s="43"/>
      <c r="H305" s="43"/>
    </row>
    <row r="306">
      <c r="A306" s="23"/>
      <c r="F306" s="43"/>
      <c r="G306" s="43"/>
      <c r="H306" s="43"/>
    </row>
    <row r="307">
      <c r="A307" s="23"/>
      <c r="F307" s="43"/>
      <c r="G307" s="43"/>
      <c r="H307" s="43"/>
    </row>
    <row r="308">
      <c r="A308" s="23"/>
      <c r="F308" s="43"/>
      <c r="G308" s="43"/>
      <c r="H308" s="43"/>
    </row>
    <row r="309">
      <c r="A309" s="23"/>
      <c r="F309" s="43"/>
      <c r="G309" s="43"/>
      <c r="H309" s="43"/>
    </row>
    <row r="310">
      <c r="A310" s="23"/>
      <c r="F310" s="43"/>
      <c r="G310" s="43"/>
      <c r="H310" s="43"/>
    </row>
    <row r="311">
      <c r="A311" s="23"/>
      <c r="F311" s="43"/>
      <c r="G311" s="43"/>
      <c r="H311" s="43"/>
    </row>
    <row r="312">
      <c r="A312" s="23"/>
      <c r="F312" s="43"/>
      <c r="G312" s="43"/>
      <c r="H312" s="43"/>
    </row>
    <row r="313">
      <c r="A313" s="23"/>
      <c r="F313" s="43"/>
      <c r="G313" s="43"/>
      <c r="H313" s="43"/>
    </row>
    <row r="314">
      <c r="A314" s="23"/>
      <c r="F314" s="43"/>
      <c r="G314" s="43"/>
      <c r="H314" s="43"/>
    </row>
    <row r="315">
      <c r="A315" s="23"/>
      <c r="F315" s="43"/>
      <c r="G315" s="43"/>
      <c r="H315" s="43"/>
    </row>
    <row r="316">
      <c r="A316" s="23"/>
      <c r="F316" s="43"/>
      <c r="G316" s="43"/>
      <c r="H316" s="43"/>
    </row>
    <row r="317">
      <c r="A317" s="23"/>
      <c r="F317" s="43"/>
      <c r="G317" s="43"/>
      <c r="H317" s="43"/>
    </row>
    <row r="318">
      <c r="A318" s="23"/>
      <c r="F318" s="43"/>
      <c r="G318" s="43"/>
      <c r="H318" s="43"/>
    </row>
    <row r="319">
      <c r="A319" s="23"/>
      <c r="F319" s="43"/>
      <c r="G319" s="43"/>
      <c r="H319" s="43"/>
    </row>
    <row r="320">
      <c r="A320" s="23"/>
      <c r="F320" s="43"/>
      <c r="G320" s="43"/>
      <c r="H320" s="43"/>
    </row>
    <row r="321">
      <c r="A321" s="23"/>
      <c r="F321" s="43"/>
      <c r="G321" s="43"/>
      <c r="H321" s="43"/>
    </row>
    <row r="322">
      <c r="A322" s="23"/>
      <c r="F322" s="43"/>
      <c r="G322" s="43"/>
      <c r="H322" s="43"/>
    </row>
    <row r="323">
      <c r="A323" s="23"/>
      <c r="F323" s="43"/>
      <c r="G323" s="43"/>
      <c r="H323" s="43"/>
    </row>
    <row r="324">
      <c r="A324" s="23"/>
      <c r="F324" s="43"/>
      <c r="G324" s="43"/>
      <c r="H324" s="43"/>
    </row>
    <row r="325">
      <c r="A325" s="23"/>
      <c r="F325" s="43"/>
      <c r="G325" s="43"/>
      <c r="H325" s="43"/>
    </row>
    <row r="326">
      <c r="A326" s="23"/>
      <c r="F326" s="43"/>
      <c r="G326" s="43"/>
      <c r="H326" s="43"/>
    </row>
    <row r="327">
      <c r="A327" s="23"/>
      <c r="F327" s="43"/>
      <c r="G327" s="43"/>
      <c r="H327" s="43"/>
    </row>
    <row r="328">
      <c r="A328" s="23"/>
      <c r="F328" s="43"/>
      <c r="G328" s="43"/>
      <c r="H328" s="43"/>
    </row>
    <row r="329">
      <c r="A329" s="23"/>
      <c r="F329" s="43"/>
      <c r="G329" s="43"/>
      <c r="H329" s="43"/>
    </row>
    <row r="330">
      <c r="A330" s="23"/>
      <c r="F330" s="43"/>
      <c r="G330" s="43"/>
      <c r="H330" s="43"/>
    </row>
    <row r="331">
      <c r="A331" s="23"/>
      <c r="F331" s="43"/>
      <c r="G331" s="43"/>
      <c r="H331" s="43"/>
    </row>
    <row r="332">
      <c r="A332" s="23"/>
      <c r="F332" s="43"/>
      <c r="G332" s="43"/>
      <c r="H332" s="43"/>
    </row>
    <row r="333">
      <c r="A333" s="23"/>
      <c r="F333" s="43"/>
      <c r="G333" s="43"/>
      <c r="H333" s="43"/>
    </row>
    <row r="334">
      <c r="A334" s="23"/>
      <c r="F334" s="43"/>
      <c r="G334" s="43"/>
      <c r="H334" s="43"/>
    </row>
    <row r="335">
      <c r="A335" s="23"/>
      <c r="F335" s="43"/>
      <c r="G335" s="43"/>
      <c r="H335" s="43"/>
    </row>
    <row r="336">
      <c r="A336" s="23"/>
      <c r="F336" s="43"/>
      <c r="G336" s="43"/>
      <c r="H336" s="43"/>
    </row>
    <row r="337">
      <c r="A337" s="23"/>
      <c r="F337" s="43"/>
      <c r="G337" s="43"/>
      <c r="H337" s="43"/>
    </row>
    <row r="338">
      <c r="A338" s="23"/>
      <c r="F338" s="43"/>
      <c r="G338" s="43"/>
      <c r="H338" s="43"/>
    </row>
    <row r="339">
      <c r="A339" s="23"/>
      <c r="F339" s="43"/>
      <c r="G339" s="43"/>
      <c r="H339" s="43"/>
    </row>
    <row r="340">
      <c r="A340" s="23"/>
      <c r="F340" s="43"/>
      <c r="G340" s="43"/>
      <c r="H340" s="43"/>
    </row>
    <row r="341">
      <c r="A341" s="23"/>
      <c r="F341" s="43"/>
      <c r="G341" s="43"/>
      <c r="H341" s="43"/>
    </row>
    <row r="342">
      <c r="A342" s="23"/>
      <c r="F342" s="43"/>
      <c r="G342" s="43"/>
      <c r="H342" s="43"/>
    </row>
    <row r="343">
      <c r="A343" s="23"/>
      <c r="F343" s="43"/>
      <c r="G343" s="43"/>
      <c r="H343" s="43"/>
    </row>
    <row r="344">
      <c r="A344" s="23"/>
      <c r="F344" s="43"/>
      <c r="G344" s="43"/>
      <c r="H344" s="43"/>
    </row>
    <row r="345">
      <c r="A345" s="23"/>
      <c r="F345" s="43"/>
      <c r="G345" s="43"/>
      <c r="H345" s="43"/>
    </row>
    <row r="346">
      <c r="A346" s="23"/>
      <c r="F346" s="43"/>
      <c r="G346" s="43"/>
      <c r="H346" s="43"/>
    </row>
    <row r="347">
      <c r="A347" s="23"/>
      <c r="F347" s="43"/>
      <c r="G347" s="43"/>
      <c r="H347" s="43"/>
    </row>
    <row r="348">
      <c r="A348" s="23"/>
      <c r="F348" s="43"/>
      <c r="G348" s="43"/>
      <c r="H348" s="43"/>
    </row>
    <row r="349">
      <c r="A349" s="23"/>
      <c r="F349" s="43"/>
      <c r="G349" s="43"/>
      <c r="H349" s="43"/>
    </row>
    <row r="350">
      <c r="A350" s="23"/>
      <c r="F350" s="43"/>
      <c r="G350" s="43"/>
      <c r="H350" s="43"/>
    </row>
    <row r="351">
      <c r="A351" s="23"/>
      <c r="F351" s="43"/>
      <c r="G351" s="43"/>
      <c r="H351" s="43"/>
    </row>
    <row r="352">
      <c r="A352" s="23"/>
      <c r="F352" s="43"/>
      <c r="G352" s="43"/>
      <c r="H352" s="43"/>
    </row>
    <row r="353">
      <c r="A353" s="23"/>
      <c r="F353" s="43"/>
      <c r="G353" s="43"/>
      <c r="H353" s="43"/>
    </row>
    <row r="354">
      <c r="A354" s="23"/>
      <c r="F354" s="43"/>
      <c r="G354" s="43"/>
      <c r="H354" s="43"/>
    </row>
    <row r="355">
      <c r="A355" s="23"/>
      <c r="F355" s="43"/>
      <c r="G355" s="43"/>
      <c r="H355" s="43"/>
    </row>
    <row r="356">
      <c r="A356" s="23"/>
      <c r="F356" s="43"/>
      <c r="G356" s="43"/>
      <c r="H356" s="43"/>
    </row>
    <row r="357">
      <c r="A357" s="23"/>
      <c r="F357" s="43"/>
      <c r="G357" s="43"/>
      <c r="H357" s="43"/>
    </row>
    <row r="358">
      <c r="A358" s="23"/>
      <c r="F358" s="43"/>
      <c r="G358" s="43"/>
      <c r="H358" s="43"/>
    </row>
    <row r="359">
      <c r="A359" s="23"/>
      <c r="F359" s="43"/>
      <c r="G359" s="43"/>
      <c r="H359" s="43"/>
    </row>
    <row r="360">
      <c r="A360" s="23"/>
      <c r="F360" s="43"/>
      <c r="G360" s="43"/>
      <c r="H360" s="43"/>
    </row>
    <row r="361">
      <c r="A361" s="23"/>
      <c r="F361" s="43"/>
      <c r="G361" s="43"/>
      <c r="H361" s="43"/>
    </row>
    <row r="362">
      <c r="A362" s="23"/>
      <c r="F362" s="43"/>
      <c r="G362" s="43"/>
      <c r="H362" s="43"/>
    </row>
    <row r="363">
      <c r="A363" s="23"/>
      <c r="F363" s="43"/>
      <c r="G363" s="43"/>
      <c r="H363" s="43"/>
    </row>
    <row r="364">
      <c r="A364" s="23"/>
      <c r="F364" s="43"/>
      <c r="G364" s="43"/>
      <c r="H364" s="43"/>
    </row>
    <row r="365">
      <c r="A365" s="23"/>
      <c r="F365" s="43"/>
      <c r="G365" s="43"/>
      <c r="H365" s="43"/>
    </row>
    <row r="366">
      <c r="A366" s="23"/>
      <c r="F366" s="43"/>
      <c r="G366" s="43"/>
      <c r="H366" s="43"/>
    </row>
    <row r="367">
      <c r="A367" s="23"/>
      <c r="F367" s="43"/>
      <c r="G367" s="43"/>
      <c r="H367" s="43"/>
    </row>
    <row r="368">
      <c r="A368" s="23"/>
      <c r="F368" s="43"/>
      <c r="G368" s="43"/>
      <c r="H368" s="43"/>
    </row>
    <row r="369">
      <c r="A369" s="23"/>
      <c r="F369" s="43"/>
      <c r="G369" s="43"/>
      <c r="H369" s="43"/>
    </row>
    <row r="370">
      <c r="A370" s="23"/>
      <c r="F370" s="43"/>
      <c r="G370" s="43"/>
      <c r="H370" s="43"/>
    </row>
    <row r="371">
      <c r="A371" s="23"/>
      <c r="F371" s="43"/>
      <c r="G371" s="43"/>
      <c r="H371" s="43"/>
    </row>
    <row r="372">
      <c r="A372" s="23"/>
      <c r="F372" s="43"/>
      <c r="G372" s="43"/>
      <c r="H372" s="43"/>
    </row>
    <row r="373">
      <c r="A373" s="23"/>
      <c r="F373" s="43"/>
      <c r="G373" s="43"/>
      <c r="H373" s="43"/>
    </row>
    <row r="374">
      <c r="A374" s="23"/>
      <c r="F374" s="43"/>
      <c r="G374" s="43"/>
      <c r="H374" s="43"/>
    </row>
    <row r="375">
      <c r="A375" s="23"/>
      <c r="F375" s="43"/>
      <c r="G375" s="43"/>
      <c r="H375" s="43"/>
    </row>
    <row r="376">
      <c r="A376" s="23"/>
      <c r="F376" s="43"/>
      <c r="G376" s="43"/>
      <c r="H376" s="43"/>
    </row>
    <row r="377">
      <c r="A377" s="23"/>
      <c r="F377" s="43"/>
      <c r="G377" s="43"/>
      <c r="H377" s="43"/>
    </row>
    <row r="378">
      <c r="A378" s="23"/>
      <c r="F378" s="43"/>
      <c r="G378" s="43"/>
      <c r="H378" s="43"/>
    </row>
    <row r="379">
      <c r="A379" s="23"/>
      <c r="F379" s="43"/>
      <c r="G379" s="43"/>
      <c r="H379" s="43"/>
    </row>
    <row r="380">
      <c r="A380" s="23"/>
      <c r="F380" s="43"/>
      <c r="G380" s="43"/>
      <c r="H380" s="43"/>
    </row>
    <row r="381">
      <c r="A381" s="23"/>
      <c r="F381" s="43"/>
      <c r="G381" s="43"/>
      <c r="H381" s="43"/>
    </row>
    <row r="382">
      <c r="A382" s="23"/>
      <c r="F382" s="43"/>
      <c r="G382" s="43"/>
      <c r="H382" s="43"/>
    </row>
    <row r="383">
      <c r="A383" s="23"/>
      <c r="F383" s="43"/>
      <c r="G383" s="43"/>
      <c r="H383" s="43"/>
    </row>
    <row r="384">
      <c r="A384" s="23"/>
      <c r="F384" s="43"/>
      <c r="G384" s="43"/>
      <c r="H384" s="43"/>
    </row>
    <row r="385">
      <c r="A385" s="23"/>
      <c r="F385" s="43"/>
      <c r="G385" s="43"/>
      <c r="H385" s="43"/>
    </row>
    <row r="386">
      <c r="A386" s="23"/>
      <c r="F386" s="43"/>
      <c r="G386" s="43"/>
      <c r="H386" s="43"/>
    </row>
    <row r="387">
      <c r="A387" s="23"/>
      <c r="F387" s="43"/>
      <c r="G387" s="43"/>
      <c r="H387" s="43"/>
    </row>
    <row r="388">
      <c r="A388" s="23"/>
      <c r="F388" s="43"/>
      <c r="G388" s="43"/>
      <c r="H388" s="43"/>
    </row>
    <row r="389">
      <c r="A389" s="23"/>
      <c r="F389" s="43"/>
      <c r="G389" s="43"/>
      <c r="H389" s="43"/>
    </row>
    <row r="390">
      <c r="A390" s="23"/>
      <c r="F390" s="43"/>
      <c r="G390" s="43"/>
      <c r="H390" s="43"/>
    </row>
    <row r="391">
      <c r="A391" s="23"/>
      <c r="F391" s="43"/>
      <c r="G391" s="43"/>
      <c r="H391" s="43"/>
    </row>
    <row r="392">
      <c r="A392" s="23"/>
      <c r="F392" s="43"/>
      <c r="G392" s="43"/>
      <c r="H392" s="43"/>
    </row>
    <row r="393">
      <c r="A393" s="23"/>
      <c r="F393" s="43"/>
      <c r="G393" s="43"/>
      <c r="H393" s="43"/>
    </row>
    <row r="394">
      <c r="A394" s="23"/>
      <c r="F394" s="43"/>
      <c r="G394" s="43"/>
      <c r="H394" s="43"/>
    </row>
    <row r="395">
      <c r="A395" s="23"/>
      <c r="F395" s="43"/>
      <c r="G395" s="43"/>
      <c r="H395" s="43"/>
    </row>
    <row r="396">
      <c r="A396" s="23"/>
      <c r="F396" s="43"/>
      <c r="G396" s="43"/>
      <c r="H396" s="43"/>
    </row>
    <row r="397">
      <c r="A397" s="23"/>
      <c r="F397" s="43"/>
      <c r="G397" s="43"/>
      <c r="H397" s="43"/>
    </row>
    <row r="398">
      <c r="A398" s="23"/>
      <c r="F398" s="43"/>
      <c r="G398" s="43"/>
      <c r="H398" s="43"/>
    </row>
    <row r="399">
      <c r="A399" s="23"/>
      <c r="F399" s="43"/>
      <c r="G399" s="43"/>
      <c r="H399" s="43"/>
    </row>
    <row r="400">
      <c r="A400" s="23"/>
      <c r="F400" s="43"/>
      <c r="G400" s="43"/>
      <c r="H400" s="43"/>
    </row>
    <row r="401">
      <c r="A401" s="23"/>
      <c r="F401" s="43"/>
      <c r="G401" s="43"/>
      <c r="H401" s="43"/>
    </row>
    <row r="402">
      <c r="A402" s="23"/>
      <c r="F402" s="43"/>
      <c r="G402" s="43"/>
      <c r="H402" s="43"/>
    </row>
    <row r="403">
      <c r="A403" s="23"/>
      <c r="F403" s="43"/>
      <c r="G403" s="43"/>
      <c r="H403" s="43"/>
    </row>
    <row r="404">
      <c r="A404" s="23"/>
      <c r="F404" s="43"/>
      <c r="G404" s="43"/>
      <c r="H404" s="43"/>
    </row>
    <row r="405">
      <c r="A405" s="23"/>
      <c r="F405" s="43"/>
      <c r="G405" s="43"/>
      <c r="H405" s="43"/>
    </row>
    <row r="406">
      <c r="A406" s="23"/>
      <c r="F406" s="43"/>
      <c r="G406" s="43"/>
      <c r="H406" s="43"/>
    </row>
    <row r="407">
      <c r="A407" s="23"/>
      <c r="F407" s="43"/>
      <c r="G407" s="43"/>
      <c r="H407" s="43"/>
    </row>
    <row r="408">
      <c r="A408" s="23"/>
      <c r="F408" s="43"/>
      <c r="G408" s="43"/>
      <c r="H408" s="43"/>
    </row>
    <row r="409">
      <c r="A409" s="23"/>
      <c r="F409" s="43"/>
      <c r="G409" s="43"/>
      <c r="H409" s="43"/>
    </row>
    <row r="410">
      <c r="A410" s="23"/>
      <c r="F410" s="43"/>
      <c r="G410" s="43"/>
      <c r="H410" s="43"/>
    </row>
    <row r="411">
      <c r="A411" s="23"/>
      <c r="F411" s="43"/>
      <c r="G411" s="43"/>
      <c r="H411" s="43"/>
    </row>
    <row r="412">
      <c r="A412" s="23"/>
      <c r="F412" s="43"/>
      <c r="G412" s="43"/>
      <c r="H412" s="43"/>
    </row>
    <row r="413">
      <c r="A413" s="23"/>
      <c r="F413" s="43"/>
      <c r="G413" s="43"/>
      <c r="H413" s="43"/>
    </row>
    <row r="414">
      <c r="A414" s="23"/>
      <c r="F414" s="43"/>
      <c r="G414" s="43"/>
      <c r="H414" s="43"/>
    </row>
    <row r="415">
      <c r="A415" s="23"/>
      <c r="F415" s="43"/>
      <c r="G415" s="43"/>
      <c r="H415" s="43"/>
    </row>
    <row r="416">
      <c r="A416" s="23"/>
      <c r="F416" s="43"/>
      <c r="G416" s="43"/>
      <c r="H416" s="43"/>
    </row>
    <row r="417">
      <c r="A417" s="23"/>
      <c r="F417" s="43"/>
      <c r="G417" s="43"/>
      <c r="H417" s="43"/>
    </row>
    <row r="418">
      <c r="A418" s="23"/>
      <c r="F418" s="43"/>
      <c r="G418" s="43"/>
      <c r="H418" s="43"/>
    </row>
    <row r="419">
      <c r="A419" s="23"/>
      <c r="F419" s="43"/>
      <c r="G419" s="43"/>
      <c r="H419" s="43"/>
    </row>
    <row r="420">
      <c r="A420" s="23"/>
      <c r="F420" s="43"/>
      <c r="G420" s="43"/>
      <c r="H420" s="43"/>
    </row>
    <row r="421">
      <c r="A421" s="23"/>
      <c r="F421" s="43"/>
      <c r="G421" s="43"/>
      <c r="H421" s="43"/>
    </row>
    <row r="422">
      <c r="A422" s="23"/>
      <c r="F422" s="43"/>
      <c r="G422" s="43"/>
      <c r="H422" s="43"/>
    </row>
    <row r="423">
      <c r="A423" s="23"/>
      <c r="F423" s="43"/>
      <c r="G423" s="43"/>
      <c r="H423" s="43"/>
    </row>
    <row r="424">
      <c r="A424" s="23"/>
      <c r="F424" s="43"/>
      <c r="G424" s="43"/>
      <c r="H424" s="43"/>
    </row>
    <row r="425">
      <c r="A425" s="23"/>
      <c r="F425" s="43"/>
      <c r="G425" s="43"/>
      <c r="H425" s="43"/>
    </row>
    <row r="426">
      <c r="A426" s="23"/>
      <c r="F426" s="43"/>
      <c r="G426" s="43"/>
      <c r="H426" s="43"/>
    </row>
    <row r="427">
      <c r="A427" s="23"/>
      <c r="F427" s="43"/>
      <c r="G427" s="43"/>
      <c r="H427" s="43"/>
    </row>
    <row r="428">
      <c r="A428" s="23"/>
      <c r="F428" s="43"/>
      <c r="G428" s="43"/>
      <c r="H428" s="43"/>
    </row>
    <row r="429">
      <c r="A429" s="23"/>
      <c r="F429" s="43"/>
      <c r="G429" s="43"/>
      <c r="H429" s="43"/>
    </row>
    <row r="430">
      <c r="A430" s="23"/>
      <c r="F430" s="43"/>
      <c r="G430" s="43"/>
      <c r="H430" s="43"/>
    </row>
    <row r="431">
      <c r="A431" s="23"/>
      <c r="F431" s="43"/>
      <c r="G431" s="43"/>
      <c r="H431" s="43"/>
    </row>
    <row r="432">
      <c r="A432" s="23"/>
      <c r="F432" s="43"/>
      <c r="G432" s="43"/>
      <c r="H432" s="43"/>
    </row>
    <row r="433">
      <c r="A433" s="23"/>
      <c r="F433" s="43"/>
      <c r="G433" s="43"/>
      <c r="H433" s="43"/>
    </row>
    <row r="434">
      <c r="A434" s="23"/>
      <c r="F434" s="43"/>
      <c r="G434" s="43"/>
      <c r="H434" s="43"/>
    </row>
    <row r="435">
      <c r="A435" s="23"/>
      <c r="F435" s="43"/>
      <c r="G435" s="43"/>
      <c r="H435" s="43"/>
    </row>
    <row r="436">
      <c r="A436" s="23"/>
      <c r="F436" s="43"/>
      <c r="G436" s="43"/>
      <c r="H436" s="43"/>
    </row>
    <row r="437">
      <c r="A437" s="23"/>
      <c r="F437" s="43"/>
      <c r="G437" s="43"/>
      <c r="H437" s="43"/>
    </row>
    <row r="438">
      <c r="A438" s="23"/>
      <c r="F438" s="43"/>
      <c r="G438" s="43"/>
      <c r="H438" s="43"/>
    </row>
    <row r="439">
      <c r="A439" s="23"/>
      <c r="F439" s="43"/>
      <c r="G439" s="43"/>
      <c r="H439" s="43"/>
    </row>
    <row r="440">
      <c r="A440" s="23"/>
      <c r="F440" s="43"/>
      <c r="G440" s="43"/>
      <c r="H440" s="43"/>
    </row>
    <row r="441">
      <c r="A441" s="23"/>
      <c r="F441" s="43"/>
      <c r="G441" s="43"/>
      <c r="H441" s="43"/>
    </row>
    <row r="442">
      <c r="A442" s="23"/>
      <c r="F442" s="43"/>
      <c r="G442" s="43"/>
      <c r="H442" s="43"/>
    </row>
    <row r="443">
      <c r="A443" s="23"/>
      <c r="F443" s="43"/>
      <c r="G443" s="43"/>
      <c r="H443" s="43"/>
    </row>
    <row r="444">
      <c r="A444" s="23"/>
      <c r="F444" s="43"/>
      <c r="G444" s="43"/>
      <c r="H444" s="43"/>
    </row>
    <row r="445">
      <c r="A445" s="23"/>
      <c r="F445" s="43"/>
      <c r="G445" s="43"/>
      <c r="H445" s="43"/>
    </row>
    <row r="446">
      <c r="A446" s="23"/>
      <c r="F446" s="43"/>
      <c r="G446" s="43"/>
      <c r="H446" s="43"/>
    </row>
    <row r="447">
      <c r="A447" s="23"/>
      <c r="F447" s="43"/>
      <c r="G447" s="43"/>
      <c r="H447" s="43"/>
    </row>
    <row r="448">
      <c r="A448" s="23"/>
      <c r="F448" s="43"/>
      <c r="G448" s="43"/>
      <c r="H448" s="43"/>
    </row>
    <row r="449">
      <c r="A449" s="23"/>
      <c r="F449" s="43"/>
      <c r="G449" s="43"/>
      <c r="H449" s="43"/>
    </row>
    <row r="450">
      <c r="A450" s="23"/>
      <c r="F450" s="43"/>
      <c r="G450" s="43"/>
      <c r="H450" s="43"/>
    </row>
    <row r="451">
      <c r="A451" s="23"/>
      <c r="F451" s="43"/>
      <c r="G451" s="43"/>
      <c r="H451" s="43"/>
    </row>
    <row r="452">
      <c r="A452" s="23"/>
      <c r="F452" s="43"/>
      <c r="G452" s="43"/>
      <c r="H452" s="43"/>
    </row>
    <row r="453">
      <c r="A453" s="23"/>
      <c r="F453" s="43"/>
      <c r="G453" s="43"/>
      <c r="H453" s="43"/>
    </row>
    <row r="454">
      <c r="A454" s="23"/>
      <c r="F454" s="43"/>
      <c r="G454" s="43"/>
      <c r="H454" s="43"/>
    </row>
    <row r="455">
      <c r="A455" s="23"/>
      <c r="F455" s="43"/>
      <c r="G455" s="43"/>
      <c r="H455" s="43"/>
    </row>
    <row r="456">
      <c r="A456" s="23"/>
      <c r="F456" s="43"/>
      <c r="G456" s="43"/>
      <c r="H456" s="43"/>
    </row>
    <row r="457">
      <c r="A457" s="23"/>
      <c r="F457" s="43"/>
      <c r="G457" s="43"/>
      <c r="H457" s="43"/>
    </row>
    <row r="458">
      <c r="A458" s="23"/>
      <c r="F458" s="43"/>
      <c r="G458" s="43"/>
      <c r="H458" s="43"/>
    </row>
    <row r="459">
      <c r="A459" s="23"/>
      <c r="F459" s="43"/>
      <c r="G459" s="43"/>
      <c r="H459" s="43"/>
    </row>
    <row r="460">
      <c r="A460" s="23"/>
      <c r="F460" s="43"/>
      <c r="G460" s="43"/>
      <c r="H460" s="43"/>
    </row>
    <row r="461">
      <c r="A461" s="23"/>
      <c r="F461" s="43"/>
      <c r="G461" s="43"/>
      <c r="H461" s="43"/>
    </row>
    <row r="462">
      <c r="A462" s="23"/>
      <c r="F462" s="43"/>
      <c r="G462" s="43"/>
      <c r="H462" s="43"/>
    </row>
    <row r="463">
      <c r="A463" s="23"/>
      <c r="F463" s="43"/>
      <c r="G463" s="43"/>
      <c r="H463" s="43"/>
    </row>
    <row r="464">
      <c r="A464" s="23"/>
      <c r="F464" s="43"/>
      <c r="G464" s="43"/>
      <c r="H464" s="43"/>
    </row>
    <row r="465">
      <c r="A465" s="23"/>
      <c r="F465" s="43"/>
      <c r="G465" s="43"/>
      <c r="H465" s="43"/>
    </row>
    <row r="466">
      <c r="A466" s="23"/>
      <c r="F466" s="43"/>
      <c r="G466" s="43"/>
      <c r="H466" s="43"/>
    </row>
    <row r="467">
      <c r="A467" s="23"/>
      <c r="F467" s="43"/>
      <c r="G467" s="43"/>
      <c r="H467" s="43"/>
    </row>
    <row r="468">
      <c r="A468" s="23"/>
      <c r="F468" s="43"/>
      <c r="G468" s="43"/>
      <c r="H468" s="43"/>
    </row>
    <row r="469">
      <c r="A469" s="23"/>
      <c r="F469" s="43"/>
      <c r="G469" s="43"/>
      <c r="H469" s="43"/>
    </row>
    <row r="470">
      <c r="A470" s="23"/>
      <c r="F470" s="43"/>
      <c r="G470" s="43"/>
      <c r="H470" s="43"/>
    </row>
    <row r="471">
      <c r="A471" s="23"/>
      <c r="F471" s="43"/>
      <c r="G471" s="43"/>
      <c r="H471" s="43"/>
    </row>
    <row r="472">
      <c r="A472" s="23"/>
      <c r="F472" s="43"/>
      <c r="G472" s="43"/>
      <c r="H472" s="43"/>
    </row>
    <row r="473">
      <c r="A473" s="23"/>
      <c r="F473" s="43"/>
      <c r="G473" s="43"/>
      <c r="H473" s="43"/>
    </row>
    <row r="474">
      <c r="A474" s="23"/>
      <c r="F474" s="43"/>
      <c r="G474" s="43"/>
      <c r="H474" s="43"/>
    </row>
    <row r="475">
      <c r="A475" s="23"/>
      <c r="F475" s="43"/>
      <c r="G475" s="43"/>
      <c r="H475" s="43"/>
    </row>
    <row r="476">
      <c r="A476" s="23"/>
      <c r="F476" s="43"/>
      <c r="G476" s="43"/>
      <c r="H476" s="43"/>
    </row>
    <row r="477">
      <c r="A477" s="23"/>
      <c r="F477" s="43"/>
      <c r="G477" s="43"/>
      <c r="H477" s="43"/>
    </row>
    <row r="478">
      <c r="A478" s="23"/>
      <c r="F478" s="43"/>
      <c r="G478" s="43"/>
      <c r="H478" s="43"/>
    </row>
    <row r="479">
      <c r="A479" s="23"/>
      <c r="F479" s="43"/>
      <c r="G479" s="43"/>
      <c r="H479" s="43"/>
    </row>
    <row r="480">
      <c r="A480" s="23"/>
      <c r="F480" s="43"/>
      <c r="G480" s="43"/>
      <c r="H480" s="43"/>
    </row>
    <row r="481">
      <c r="A481" s="23"/>
      <c r="F481" s="43"/>
      <c r="G481" s="43"/>
      <c r="H481" s="43"/>
    </row>
    <row r="482">
      <c r="A482" s="23"/>
      <c r="F482" s="43"/>
      <c r="G482" s="43"/>
      <c r="H482" s="43"/>
    </row>
    <row r="483">
      <c r="A483" s="23"/>
      <c r="F483" s="43"/>
      <c r="G483" s="43"/>
      <c r="H483" s="43"/>
    </row>
    <row r="484">
      <c r="A484" s="23"/>
      <c r="F484" s="43"/>
      <c r="G484" s="43"/>
      <c r="H484" s="43"/>
    </row>
    <row r="485">
      <c r="A485" s="23"/>
      <c r="F485" s="43"/>
      <c r="G485" s="43"/>
      <c r="H485" s="43"/>
    </row>
    <row r="486">
      <c r="A486" s="23"/>
      <c r="F486" s="43"/>
      <c r="G486" s="43"/>
      <c r="H486" s="43"/>
    </row>
    <row r="487">
      <c r="A487" s="23"/>
      <c r="F487" s="43"/>
      <c r="G487" s="43"/>
      <c r="H487" s="43"/>
    </row>
    <row r="488">
      <c r="A488" s="23"/>
      <c r="F488" s="43"/>
      <c r="G488" s="43"/>
      <c r="H488" s="43"/>
    </row>
    <row r="489">
      <c r="A489" s="23"/>
      <c r="F489" s="43"/>
      <c r="G489" s="43"/>
      <c r="H489" s="43"/>
    </row>
    <row r="490">
      <c r="A490" s="23"/>
      <c r="F490" s="43"/>
      <c r="G490" s="43"/>
      <c r="H490" s="43"/>
    </row>
    <row r="491">
      <c r="A491" s="23"/>
      <c r="F491" s="43"/>
      <c r="G491" s="43"/>
      <c r="H491" s="43"/>
    </row>
    <row r="492">
      <c r="A492" s="23"/>
      <c r="F492" s="43"/>
      <c r="G492" s="43"/>
      <c r="H492" s="43"/>
    </row>
    <row r="493">
      <c r="A493" s="23"/>
      <c r="F493" s="43"/>
      <c r="G493" s="43"/>
      <c r="H493" s="43"/>
    </row>
    <row r="494">
      <c r="A494" s="23"/>
      <c r="F494" s="43"/>
      <c r="G494" s="43"/>
      <c r="H494" s="43"/>
    </row>
    <row r="495">
      <c r="A495" s="23"/>
      <c r="F495" s="43"/>
      <c r="G495" s="43"/>
      <c r="H495" s="43"/>
    </row>
    <row r="496">
      <c r="A496" s="23"/>
      <c r="F496" s="43"/>
      <c r="G496" s="43"/>
      <c r="H496" s="43"/>
    </row>
    <row r="497">
      <c r="A497" s="23"/>
      <c r="F497" s="43"/>
      <c r="G497" s="43"/>
      <c r="H497" s="43"/>
    </row>
    <row r="498">
      <c r="A498" s="23"/>
      <c r="F498" s="43"/>
      <c r="G498" s="43"/>
      <c r="H498" s="43"/>
    </row>
    <row r="499">
      <c r="A499" s="23"/>
      <c r="F499" s="43"/>
      <c r="G499" s="43"/>
      <c r="H499" s="43"/>
    </row>
    <row r="500">
      <c r="A500" s="23"/>
      <c r="F500" s="43"/>
      <c r="G500" s="43"/>
      <c r="H500" s="43"/>
    </row>
    <row r="501">
      <c r="A501" s="23"/>
      <c r="F501" s="43"/>
      <c r="G501" s="43"/>
      <c r="H501" s="43"/>
    </row>
    <row r="502">
      <c r="A502" s="23"/>
      <c r="F502" s="43"/>
      <c r="G502" s="43"/>
      <c r="H502" s="43"/>
    </row>
    <row r="503">
      <c r="A503" s="23"/>
      <c r="F503" s="43"/>
      <c r="G503" s="43"/>
      <c r="H503" s="43"/>
    </row>
    <row r="504">
      <c r="A504" s="23"/>
      <c r="F504" s="43"/>
      <c r="G504" s="43"/>
      <c r="H504" s="43"/>
    </row>
    <row r="505">
      <c r="A505" s="23"/>
      <c r="F505" s="43"/>
      <c r="G505" s="43"/>
      <c r="H505" s="43"/>
    </row>
    <row r="506">
      <c r="A506" s="23"/>
      <c r="F506" s="43"/>
      <c r="G506" s="43"/>
      <c r="H506" s="43"/>
    </row>
    <row r="507">
      <c r="A507" s="23"/>
      <c r="F507" s="43"/>
      <c r="G507" s="43"/>
      <c r="H507" s="43"/>
    </row>
    <row r="508">
      <c r="A508" s="23"/>
      <c r="F508" s="43"/>
      <c r="G508" s="43"/>
      <c r="H508" s="43"/>
    </row>
    <row r="509">
      <c r="A509" s="23"/>
      <c r="F509" s="43"/>
      <c r="G509" s="43"/>
      <c r="H509" s="43"/>
    </row>
    <row r="510">
      <c r="A510" s="23"/>
      <c r="F510" s="43"/>
      <c r="G510" s="43"/>
      <c r="H510" s="43"/>
    </row>
    <row r="511">
      <c r="A511" s="23"/>
      <c r="F511" s="43"/>
      <c r="G511" s="43"/>
      <c r="H511" s="43"/>
    </row>
    <row r="512">
      <c r="A512" s="23"/>
      <c r="F512" s="43"/>
      <c r="G512" s="43"/>
      <c r="H512" s="43"/>
    </row>
    <row r="513">
      <c r="A513" s="23"/>
      <c r="F513" s="43"/>
      <c r="G513" s="43"/>
      <c r="H513" s="43"/>
    </row>
    <row r="514">
      <c r="A514" s="23"/>
      <c r="F514" s="43"/>
      <c r="G514" s="43"/>
      <c r="H514" s="43"/>
    </row>
    <row r="515">
      <c r="A515" s="23"/>
      <c r="F515" s="43"/>
      <c r="G515" s="43"/>
      <c r="H515" s="43"/>
    </row>
    <row r="516">
      <c r="A516" s="23"/>
      <c r="F516" s="43"/>
      <c r="G516" s="43"/>
      <c r="H516" s="43"/>
    </row>
    <row r="517">
      <c r="A517" s="23"/>
      <c r="F517" s="43"/>
      <c r="G517" s="43"/>
      <c r="H517" s="43"/>
    </row>
    <row r="518">
      <c r="A518" s="23"/>
      <c r="F518" s="43"/>
      <c r="G518" s="43"/>
      <c r="H518" s="43"/>
    </row>
    <row r="519">
      <c r="A519" s="23"/>
      <c r="F519" s="43"/>
      <c r="G519" s="43"/>
      <c r="H519" s="43"/>
    </row>
    <row r="520">
      <c r="A520" s="23"/>
      <c r="F520" s="43"/>
      <c r="G520" s="43"/>
      <c r="H520" s="43"/>
    </row>
    <row r="521">
      <c r="A521" s="23"/>
      <c r="F521" s="43"/>
      <c r="G521" s="43"/>
      <c r="H521" s="43"/>
    </row>
    <row r="522">
      <c r="A522" s="23"/>
      <c r="F522" s="43"/>
      <c r="G522" s="43"/>
      <c r="H522" s="43"/>
    </row>
    <row r="523">
      <c r="A523" s="23"/>
      <c r="F523" s="43"/>
      <c r="G523" s="43"/>
      <c r="H523" s="43"/>
    </row>
    <row r="524">
      <c r="A524" s="23"/>
      <c r="F524" s="43"/>
      <c r="G524" s="43"/>
      <c r="H524" s="43"/>
    </row>
    <row r="525">
      <c r="A525" s="23"/>
      <c r="F525" s="43"/>
      <c r="G525" s="43"/>
      <c r="H525" s="43"/>
    </row>
    <row r="526">
      <c r="A526" s="23"/>
      <c r="F526" s="43"/>
      <c r="G526" s="43"/>
      <c r="H526" s="43"/>
    </row>
    <row r="527">
      <c r="A527" s="23"/>
      <c r="F527" s="43"/>
      <c r="G527" s="43"/>
      <c r="H527" s="43"/>
    </row>
    <row r="528">
      <c r="A528" s="23"/>
      <c r="F528" s="43"/>
      <c r="G528" s="43"/>
      <c r="H528" s="43"/>
    </row>
    <row r="529">
      <c r="A529" s="23"/>
      <c r="F529" s="43"/>
      <c r="G529" s="43"/>
      <c r="H529" s="43"/>
    </row>
    <row r="530">
      <c r="A530" s="23"/>
      <c r="F530" s="43"/>
      <c r="G530" s="43"/>
      <c r="H530" s="43"/>
    </row>
    <row r="531">
      <c r="A531" s="23"/>
      <c r="F531" s="43"/>
      <c r="G531" s="43"/>
      <c r="H531" s="43"/>
    </row>
    <row r="532">
      <c r="A532" s="23"/>
      <c r="F532" s="43"/>
      <c r="G532" s="43"/>
      <c r="H532" s="43"/>
    </row>
    <row r="533">
      <c r="A533" s="23"/>
      <c r="F533" s="43"/>
      <c r="G533" s="43"/>
      <c r="H533" s="43"/>
    </row>
    <row r="534">
      <c r="A534" s="23"/>
      <c r="F534" s="43"/>
      <c r="G534" s="43"/>
      <c r="H534" s="43"/>
    </row>
    <row r="535">
      <c r="A535" s="23"/>
      <c r="F535" s="43"/>
      <c r="G535" s="43"/>
      <c r="H535" s="43"/>
    </row>
    <row r="536">
      <c r="A536" s="23"/>
      <c r="F536" s="43"/>
      <c r="G536" s="43"/>
      <c r="H536" s="43"/>
    </row>
    <row r="537">
      <c r="A537" s="23"/>
      <c r="F537" s="43"/>
      <c r="G537" s="43"/>
      <c r="H537" s="43"/>
    </row>
    <row r="538">
      <c r="A538" s="23"/>
      <c r="F538" s="43"/>
      <c r="G538" s="43"/>
      <c r="H538" s="43"/>
    </row>
    <row r="539">
      <c r="A539" s="23"/>
      <c r="F539" s="43"/>
      <c r="G539" s="43"/>
      <c r="H539" s="43"/>
    </row>
    <row r="540">
      <c r="A540" s="23"/>
      <c r="F540" s="43"/>
      <c r="G540" s="43"/>
      <c r="H540" s="43"/>
    </row>
    <row r="541">
      <c r="A541" s="23"/>
      <c r="F541" s="43"/>
      <c r="G541" s="43"/>
      <c r="H541" s="43"/>
    </row>
    <row r="542">
      <c r="A542" s="23"/>
      <c r="F542" s="43"/>
      <c r="G542" s="43"/>
      <c r="H542" s="43"/>
    </row>
    <row r="543">
      <c r="A543" s="23"/>
      <c r="F543" s="43"/>
      <c r="G543" s="43"/>
      <c r="H543" s="43"/>
    </row>
    <row r="544">
      <c r="A544" s="23"/>
      <c r="F544" s="43"/>
      <c r="G544" s="43"/>
      <c r="H544" s="43"/>
    </row>
    <row r="545">
      <c r="A545" s="23"/>
      <c r="F545" s="43"/>
      <c r="G545" s="43"/>
      <c r="H545" s="43"/>
    </row>
    <row r="546">
      <c r="A546" s="23"/>
      <c r="F546" s="43"/>
      <c r="G546" s="43"/>
      <c r="H546" s="43"/>
    </row>
    <row r="547">
      <c r="A547" s="23"/>
      <c r="F547" s="43"/>
      <c r="G547" s="43"/>
      <c r="H547" s="43"/>
    </row>
    <row r="548">
      <c r="A548" s="23"/>
      <c r="F548" s="43"/>
      <c r="G548" s="43"/>
      <c r="H548" s="43"/>
    </row>
    <row r="549">
      <c r="A549" s="23"/>
      <c r="F549" s="43"/>
      <c r="G549" s="43"/>
      <c r="H549" s="43"/>
    </row>
    <row r="550">
      <c r="A550" s="23"/>
      <c r="F550" s="43"/>
      <c r="G550" s="43"/>
      <c r="H550" s="43"/>
    </row>
    <row r="551">
      <c r="A551" s="23"/>
      <c r="F551" s="43"/>
      <c r="G551" s="43"/>
      <c r="H551" s="43"/>
    </row>
    <row r="552">
      <c r="A552" s="23"/>
      <c r="F552" s="43"/>
      <c r="G552" s="43"/>
      <c r="H552" s="43"/>
    </row>
    <row r="553">
      <c r="A553" s="23"/>
      <c r="F553" s="43"/>
      <c r="G553" s="43"/>
      <c r="H553" s="43"/>
    </row>
    <row r="554">
      <c r="A554" s="23"/>
      <c r="F554" s="43"/>
      <c r="G554" s="43"/>
      <c r="H554" s="43"/>
    </row>
    <row r="555">
      <c r="A555" s="23"/>
      <c r="F555" s="43"/>
      <c r="G555" s="43"/>
      <c r="H555" s="43"/>
    </row>
    <row r="556">
      <c r="A556" s="23"/>
      <c r="F556" s="43"/>
      <c r="G556" s="43"/>
      <c r="H556" s="43"/>
    </row>
    <row r="557">
      <c r="A557" s="23"/>
      <c r="F557" s="43"/>
      <c r="G557" s="43"/>
      <c r="H557" s="43"/>
    </row>
    <row r="558">
      <c r="A558" s="23"/>
      <c r="F558" s="43"/>
      <c r="G558" s="43"/>
      <c r="H558" s="43"/>
    </row>
    <row r="559">
      <c r="A559" s="23"/>
      <c r="F559" s="43"/>
      <c r="G559" s="43"/>
      <c r="H559" s="43"/>
    </row>
    <row r="560">
      <c r="A560" s="23"/>
      <c r="F560" s="43"/>
      <c r="G560" s="43"/>
      <c r="H560" s="43"/>
    </row>
    <row r="561">
      <c r="A561" s="23"/>
      <c r="F561" s="43"/>
      <c r="G561" s="43"/>
      <c r="H561" s="43"/>
    </row>
    <row r="562">
      <c r="A562" s="23"/>
      <c r="F562" s="43"/>
      <c r="G562" s="43"/>
      <c r="H562" s="43"/>
    </row>
    <row r="563">
      <c r="A563" s="23"/>
      <c r="F563" s="43"/>
      <c r="G563" s="43"/>
      <c r="H563" s="43"/>
    </row>
    <row r="564">
      <c r="A564" s="23"/>
      <c r="F564" s="43"/>
      <c r="G564" s="43"/>
      <c r="H564" s="43"/>
    </row>
    <row r="565">
      <c r="A565" s="23"/>
      <c r="F565" s="43"/>
      <c r="G565" s="43"/>
      <c r="H565" s="43"/>
    </row>
    <row r="566">
      <c r="A566" s="23"/>
      <c r="F566" s="43"/>
      <c r="G566" s="43"/>
      <c r="H566" s="43"/>
    </row>
    <row r="567">
      <c r="A567" s="23"/>
      <c r="F567" s="43"/>
      <c r="G567" s="43"/>
      <c r="H567" s="43"/>
    </row>
    <row r="568">
      <c r="A568" s="23"/>
      <c r="F568" s="43"/>
      <c r="G568" s="43"/>
      <c r="H568" s="43"/>
    </row>
    <row r="569">
      <c r="A569" s="23"/>
      <c r="F569" s="43"/>
      <c r="G569" s="43"/>
      <c r="H569" s="43"/>
    </row>
    <row r="570">
      <c r="A570" s="23"/>
      <c r="F570" s="43"/>
      <c r="G570" s="43"/>
      <c r="H570" s="43"/>
    </row>
    <row r="571">
      <c r="A571" s="23"/>
      <c r="F571" s="43"/>
      <c r="G571" s="43"/>
      <c r="H571" s="43"/>
    </row>
    <row r="572">
      <c r="A572" s="23"/>
      <c r="F572" s="43"/>
      <c r="G572" s="43"/>
      <c r="H572" s="43"/>
    </row>
    <row r="573">
      <c r="A573" s="23"/>
      <c r="F573" s="43"/>
      <c r="G573" s="43"/>
      <c r="H573" s="43"/>
    </row>
    <row r="574">
      <c r="A574" s="23"/>
      <c r="F574" s="43"/>
      <c r="G574" s="43"/>
      <c r="H574" s="43"/>
    </row>
    <row r="575">
      <c r="A575" s="23"/>
      <c r="F575" s="43"/>
      <c r="G575" s="43"/>
      <c r="H575" s="43"/>
    </row>
    <row r="576">
      <c r="A576" s="23"/>
      <c r="F576" s="43"/>
      <c r="G576" s="43"/>
      <c r="H576" s="43"/>
    </row>
    <row r="577">
      <c r="A577" s="23"/>
      <c r="F577" s="43"/>
      <c r="G577" s="43"/>
      <c r="H577" s="43"/>
    </row>
    <row r="578">
      <c r="A578" s="23"/>
      <c r="F578" s="43"/>
      <c r="G578" s="43"/>
      <c r="H578" s="43"/>
    </row>
    <row r="579">
      <c r="A579" s="23"/>
      <c r="F579" s="43"/>
      <c r="G579" s="43"/>
      <c r="H579" s="43"/>
    </row>
    <row r="580">
      <c r="A580" s="23"/>
      <c r="F580" s="43"/>
      <c r="G580" s="43"/>
      <c r="H580" s="43"/>
    </row>
    <row r="581">
      <c r="A581" s="23"/>
      <c r="F581" s="43"/>
      <c r="G581" s="43"/>
      <c r="H581" s="43"/>
    </row>
    <row r="582">
      <c r="A582" s="23"/>
      <c r="F582" s="43"/>
      <c r="G582" s="43"/>
      <c r="H582" s="43"/>
    </row>
    <row r="583">
      <c r="A583" s="23"/>
      <c r="F583" s="43"/>
      <c r="G583" s="43"/>
      <c r="H583" s="43"/>
    </row>
    <row r="584">
      <c r="A584" s="23"/>
      <c r="F584" s="43"/>
      <c r="G584" s="43"/>
      <c r="H584" s="43"/>
    </row>
    <row r="585">
      <c r="A585" s="23"/>
      <c r="F585" s="43"/>
      <c r="G585" s="43"/>
      <c r="H585" s="43"/>
    </row>
    <row r="586">
      <c r="A586" s="23"/>
      <c r="F586" s="43"/>
      <c r="G586" s="43"/>
      <c r="H586" s="43"/>
    </row>
    <row r="587">
      <c r="A587" s="23"/>
      <c r="F587" s="43"/>
      <c r="G587" s="43"/>
      <c r="H587" s="43"/>
    </row>
    <row r="588">
      <c r="A588" s="23"/>
      <c r="F588" s="43"/>
      <c r="G588" s="43"/>
      <c r="H588" s="43"/>
    </row>
    <row r="589">
      <c r="A589" s="23"/>
      <c r="F589" s="43"/>
      <c r="G589" s="43"/>
      <c r="H589" s="43"/>
    </row>
    <row r="590">
      <c r="A590" s="23"/>
      <c r="F590" s="43"/>
      <c r="G590" s="43"/>
      <c r="H590" s="43"/>
    </row>
    <row r="591">
      <c r="A591" s="23"/>
      <c r="F591" s="43"/>
      <c r="G591" s="43"/>
      <c r="H591" s="43"/>
    </row>
    <row r="592">
      <c r="A592" s="23"/>
      <c r="F592" s="43"/>
      <c r="G592" s="43"/>
      <c r="H592" s="43"/>
    </row>
    <row r="593">
      <c r="A593" s="23"/>
      <c r="F593" s="43"/>
      <c r="G593" s="43"/>
      <c r="H593" s="43"/>
    </row>
    <row r="594">
      <c r="A594" s="23"/>
      <c r="F594" s="43"/>
      <c r="G594" s="43"/>
      <c r="H594" s="43"/>
    </row>
    <row r="595">
      <c r="A595" s="23"/>
      <c r="F595" s="43"/>
      <c r="G595" s="43"/>
      <c r="H595" s="43"/>
    </row>
    <row r="596">
      <c r="A596" s="23"/>
      <c r="F596" s="43"/>
      <c r="G596" s="43"/>
      <c r="H596" s="43"/>
    </row>
    <row r="597">
      <c r="A597" s="23"/>
      <c r="F597" s="43"/>
      <c r="G597" s="43"/>
      <c r="H597" s="43"/>
    </row>
    <row r="598">
      <c r="A598" s="23"/>
      <c r="F598" s="43"/>
      <c r="G598" s="43"/>
      <c r="H598" s="43"/>
    </row>
    <row r="599">
      <c r="A599" s="23"/>
      <c r="F599" s="43"/>
      <c r="G599" s="43"/>
      <c r="H599" s="43"/>
    </row>
    <row r="600">
      <c r="A600" s="23"/>
      <c r="F600" s="43"/>
      <c r="G600" s="43"/>
      <c r="H600" s="43"/>
    </row>
    <row r="601">
      <c r="A601" s="23"/>
      <c r="F601" s="43"/>
      <c r="G601" s="43"/>
      <c r="H601" s="43"/>
    </row>
    <row r="602">
      <c r="A602" s="23"/>
      <c r="F602" s="43"/>
      <c r="G602" s="43"/>
      <c r="H602" s="43"/>
    </row>
    <row r="603">
      <c r="A603" s="23"/>
      <c r="F603" s="43"/>
      <c r="G603" s="43"/>
      <c r="H603" s="43"/>
    </row>
    <row r="604">
      <c r="A604" s="23"/>
      <c r="F604" s="43"/>
      <c r="G604" s="43"/>
      <c r="H604" s="43"/>
    </row>
    <row r="605">
      <c r="A605" s="23"/>
      <c r="F605" s="43"/>
      <c r="G605" s="43"/>
      <c r="H605" s="43"/>
    </row>
    <row r="606">
      <c r="A606" s="23"/>
      <c r="F606" s="43"/>
      <c r="G606" s="43"/>
      <c r="H606" s="43"/>
    </row>
    <row r="607">
      <c r="A607" s="23"/>
      <c r="F607" s="43"/>
      <c r="G607" s="43"/>
      <c r="H607" s="43"/>
    </row>
    <row r="608">
      <c r="A608" s="23"/>
      <c r="F608" s="43"/>
      <c r="G608" s="43"/>
      <c r="H608" s="43"/>
    </row>
    <row r="609">
      <c r="A609" s="23"/>
      <c r="F609" s="43"/>
      <c r="G609" s="43"/>
      <c r="H609" s="43"/>
    </row>
    <row r="610">
      <c r="A610" s="23"/>
      <c r="F610" s="43"/>
      <c r="G610" s="43"/>
      <c r="H610" s="43"/>
    </row>
    <row r="611">
      <c r="A611" s="23"/>
      <c r="F611" s="43"/>
      <c r="G611" s="43"/>
      <c r="H611" s="43"/>
    </row>
    <row r="612">
      <c r="A612" s="23"/>
      <c r="F612" s="43"/>
      <c r="G612" s="43"/>
      <c r="H612" s="43"/>
    </row>
    <row r="613">
      <c r="A613" s="23"/>
      <c r="F613" s="43"/>
      <c r="G613" s="43"/>
      <c r="H613" s="43"/>
    </row>
    <row r="614">
      <c r="A614" s="23"/>
      <c r="F614" s="43"/>
      <c r="G614" s="43"/>
      <c r="H614" s="43"/>
    </row>
    <row r="615">
      <c r="A615" s="23"/>
      <c r="F615" s="43"/>
      <c r="G615" s="43"/>
      <c r="H615" s="43"/>
    </row>
    <row r="616">
      <c r="A616" s="23"/>
      <c r="F616" s="43"/>
      <c r="G616" s="43"/>
      <c r="H616" s="43"/>
    </row>
    <row r="617">
      <c r="A617" s="23"/>
      <c r="F617" s="43"/>
      <c r="G617" s="43"/>
      <c r="H617" s="43"/>
    </row>
    <row r="618">
      <c r="A618" s="23"/>
      <c r="F618" s="43"/>
      <c r="G618" s="43"/>
      <c r="H618" s="43"/>
    </row>
    <row r="619">
      <c r="A619" s="23"/>
      <c r="F619" s="43"/>
      <c r="G619" s="43"/>
      <c r="H619" s="43"/>
    </row>
    <row r="620">
      <c r="A620" s="23"/>
      <c r="F620" s="43"/>
      <c r="G620" s="43"/>
      <c r="H620" s="43"/>
    </row>
    <row r="621">
      <c r="A621" s="23"/>
      <c r="F621" s="43"/>
      <c r="G621" s="43"/>
      <c r="H621" s="43"/>
    </row>
    <row r="622">
      <c r="A622" s="23"/>
      <c r="F622" s="43"/>
      <c r="G622" s="43"/>
      <c r="H622" s="43"/>
    </row>
    <row r="623">
      <c r="A623" s="23"/>
      <c r="F623" s="43"/>
      <c r="G623" s="43"/>
      <c r="H623" s="43"/>
    </row>
    <row r="624">
      <c r="A624" s="23"/>
      <c r="F624" s="43"/>
      <c r="G624" s="43"/>
      <c r="H624" s="43"/>
    </row>
    <row r="625">
      <c r="A625" s="23"/>
      <c r="F625" s="43"/>
      <c r="G625" s="43"/>
      <c r="H625" s="43"/>
    </row>
    <row r="626">
      <c r="A626" s="23"/>
      <c r="F626" s="43"/>
      <c r="G626" s="43"/>
      <c r="H626" s="43"/>
    </row>
    <row r="627">
      <c r="A627" s="23"/>
      <c r="F627" s="43"/>
      <c r="G627" s="43"/>
      <c r="H627" s="43"/>
    </row>
    <row r="628">
      <c r="A628" s="23"/>
      <c r="F628" s="43"/>
      <c r="G628" s="43"/>
      <c r="H628" s="43"/>
    </row>
    <row r="629">
      <c r="A629" s="23"/>
      <c r="F629" s="43"/>
      <c r="G629" s="43"/>
      <c r="H629" s="43"/>
    </row>
    <row r="630">
      <c r="A630" s="23"/>
      <c r="F630" s="43"/>
      <c r="G630" s="43"/>
      <c r="H630" s="43"/>
    </row>
    <row r="631">
      <c r="A631" s="23"/>
      <c r="F631" s="43"/>
      <c r="G631" s="43"/>
      <c r="H631" s="43"/>
    </row>
    <row r="632">
      <c r="A632" s="23"/>
      <c r="F632" s="43"/>
      <c r="G632" s="43"/>
      <c r="H632" s="43"/>
    </row>
    <row r="633">
      <c r="A633" s="23"/>
      <c r="F633" s="43"/>
      <c r="G633" s="43"/>
      <c r="H633" s="43"/>
    </row>
    <row r="634">
      <c r="A634" s="23"/>
      <c r="F634" s="43"/>
      <c r="G634" s="43"/>
      <c r="H634" s="43"/>
    </row>
    <row r="635">
      <c r="A635" s="23"/>
      <c r="F635" s="43"/>
      <c r="G635" s="43"/>
      <c r="H635" s="43"/>
    </row>
    <row r="636">
      <c r="A636" s="23"/>
      <c r="F636" s="43"/>
      <c r="G636" s="43"/>
      <c r="H636" s="43"/>
    </row>
    <row r="637">
      <c r="A637" s="23"/>
      <c r="F637" s="43"/>
      <c r="G637" s="43"/>
      <c r="H637" s="43"/>
    </row>
    <row r="638">
      <c r="A638" s="23"/>
      <c r="F638" s="43"/>
      <c r="G638" s="43"/>
      <c r="H638" s="43"/>
    </row>
    <row r="639">
      <c r="A639" s="23"/>
      <c r="F639" s="43"/>
      <c r="G639" s="43"/>
      <c r="H639" s="43"/>
    </row>
    <row r="640">
      <c r="A640" s="23"/>
      <c r="F640" s="43"/>
      <c r="G640" s="43"/>
      <c r="H640" s="43"/>
    </row>
    <row r="641">
      <c r="A641" s="23"/>
      <c r="F641" s="43"/>
      <c r="G641" s="43"/>
      <c r="H641" s="43"/>
    </row>
    <row r="642">
      <c r="A642" s="23"/>
      <c r="F642" s="43"/>
      <c r="G642" s="43"/>
      <c r="H642" s="43"/>
    </row>
    <row r="643">
      <c r="A643" s="23"/>
      <c r="F643" s="43"/>
      <c r="G643" s="43"/>
      <c r="H643" s="43"/>
    </row>
    <row r="644">
      <c r="A644" s="23"/>
      <c r="F644" s="43"/>
      <c r="G644" s="43"/>
      <c r="H644" s="43"/>
    </row>
    <row r="645">
      <c r="A645" s="23"/>
      <c r="F645" s="43"/>
      <c r="G645" s="43"/>
      <c r="H645" s="43"/>
    </row>
    <row r="646">
      <c r="A646" s="23"/>
      <c r="F646" s="43"/>
      <c r="G646" s="43"/>
      <c r="H646" s="43"/>
    </row>
    <row r="647">
      <c r="A647" s="23"/>
      <c r="F647" s="43"/>
      <c r="G647" s="43"/>
      <c r="H647" s="43"/>
    </row>
    <row r="648">
      <c r="A648" s="23"/>
      <c r="F648" s="43"/>
      <c r="G648" s="43"/>
      <c r="H648" s="43"/>
    </row>
    <row r="649">
      <c r="A649" s="23"/>
      <c r="F649" s="43"/>
      <c r="G649" s="43"/>
      <c r="H649" s="43"/>
    </row>
    <row r="650">
      <c r="A650" s="23"/>
      <c r="F650" s="43"/>
      <c r="G650" s="43"/>
      <c r="H650" s="43"/>
    </row>
    <row r="651">
      <c r="A651" s="23"/>
      <c r="F651" s="43"/>
      <c r="G651" s="43"/>
      <c r="H651" s="43"/>
    </row>
    <row r="652">
      <c r="A652" s="23"/>
      <c r="F652" s="43"/>
      <c r="G652" s="43"/>
      <c r="H652" s="43"/>
    </row>
    <row r="653">
      <c r="A653" s="23"/>
      <c r="F653" s="43"/>
      <c r="G653" s="43"/>
      <c r="H653" s="43"/>
    </row>
    <row r="654">
      <c r="A654" s="23"/>
      <c r="F654" s="43"/>
      <c r="G654" s="43"/>
      <c r="H654" s="43"/>
    </row>
    <row r="655">
      <c r="A655" s="23"/>
      <c r="F655" s="43"/>
      <c r="G655" s="43"/>
      <c r="H655" s="43"/>
    </row>
    <row r="656">
      <c r="A656" s="23"/>
      <c r="F656" s="43"/>
      <c r="G656" s="43"/>
      <c r="H656" s="43"/>
    </row>
    <row r="657">
      <c r="A657" s="23"/>
      <c r="F657" s="43"/>
      <c r="G657" s="43"/>
      <c r="H657" s="43"/>
    </row>
    <row r="658">
      <c r="A658" s="23"/>
      <c r="F658" s="43"/>
      <c r="G658" s="43"/>
      <c r="H658" s="43"/>
    </row>
    <row r="659">
      <c r="A659" s="23"/>
      <c r="F659" s="43"/>
      <c r="G659" s="43"/>
      <c r="H659" s="43"/>
    </row>
    <row r="660">
      <c r="A660" s="23"/>
      <c r="F660" s="43"/>
      <c r="G660" s="43"/>
      <c r="H660" s="43"/>
    </row>
    <row r="661">
      <c r="A661" s="23"/>
      <c r="F661" s="43"/>
      <c r="G661" s="43"/>
      <c r="H661" s="43"/>
    </row>
    <row r="662">
      <c r="A662" s="23"/>
      <c r="F662" s="43"/>
      <c r="G662" s="43"/>
      <c r="H662" s="43"/>
    </row>
    <row r="663">
      <c r="A663" s="23"/>
      <c r="F663" s="43"/>
      <c r="G663" s="43"/>
      <c r="H663" s="43"/>
    </row>
    <row r="664">
      <c r="A664" s="23"/>
      <c r="F664" s="43"/>
      <c r="G664" s="43"/>
      <c r="H664" s="43"/>
    </row>
    <row r="665">
      <c r="A665" s="23"/>
      <c r="F665" s="43"/>
      <c r="G665" s="43"/>
      <c r="H665" s="43"/>
    </row>
    <row r="666">
      <c r="A666" s="23"/>
      <c r="F666" s="43"/>
      <c r="G666" s="43"/>
      <c r="H666" s="43"/>
    </row>
    <row r="667">
      <c r="A667" s="23"/>
      <c r="F667" s="43"/>
      <c r="G667" s="43"/>
      <c r="H667" s="43"/>
    </row>
    <row r="668">
      <c r="A668" s="23"/>
      <c r="F668" s="43"/>
      <c r="G668" s="43"/>
      <c r="H668" s="43"/>
    </row>
    <row r="669">
      <c r="A669" s="23"/>
      <c r="F669" s="43"/>
      <c r="G669" s="43"/>
      <c r="H669" s="43"/>
    </row>
    <row r="670">
      <c r="A670" s="23"/>
      <c r="F670" s="43"/>
      <c r="G670" s="43"/>
      <c r="H670" s="43"/>
    </row>
    <row r="671">
      <c r="A671" s="23"/>
      <c r="F671" s="43"/>
      <c r="G671" s="43"/>
      <c r="H671" s="43"/>
    </row>
    <row r="672">
      <c r="A672" s="23"/>
      <c r="F672" s="43"/>
      <c r="G672" s="43"/>
      <c r="H672" s="43"/>
    </row>
    <row r="673">
      <c r="A673" s="23"/>
      <c r="F673" s="43"/>
      <c r="G673" s="43"/>
      <c r="H673" s="43"/>
    </row>
    <row r="674">
      <c r="A674" s="23"/>
      <c r="F674" s="43"/>
      <c r="G674" s="43"/>
      <c r="H674" s="43"/>
    </row>
    <row r="675">
      <c r="A675" s="23"/>
      <c r="F675" s="43"/>
      <c r="G675" s="43"/>
      <c r="H675" s="43"/>
    </row>
    <row r="676">
      <c r="A676" s="23"/>
      <c r="F676" s="43"/>
      <c r="G676" s="43"/>
      <c r="H676" s="43"/>
    </row>
    <row r="677">
      <c r="A677" s="23"/>
      <c r="F677" s="43"/>
      <c r="G677" s="43"/>
      <c r="H677" s="43"/>
    </row>
    <row r="678">
      <c r="A678" s="23"/>
      <c r="F678" s="43"/>
      <c r="G678" s="43"/>
      <c r="H678" s="43"/>
    </row>
    <row r="679">
      <c r="A679" s="23"/>
      <c r="F679" s="43"/>
      <c r="G679" s="43"/>
      <c r="H679" s="43"/>
    </row>
    <row r="680">
      <c r="A680" s="23"/>
      <c r="F680" s="43"/>
      <c r="G680" s="43"/>
      <c r="H680" s="43"/>
    </row>
    <row r="681">
      <c r="A681" s="23"/>
      <c r="F681" s="43"/>
      <c r="G681" s="43"/>
      <c r="H681" s="43"/>
    </row>
    <row r="682">
      <c r="A682" s="23"/>
      <c r="F682" s="43"/>
      <c r="G682" s="43"/>
      <c r="H682" s="43"/>
    </row>
    <row r="683">
      <c r="A683" s="23"/>
      <c r="F683" s="43"/>
      <c r="G683" s="43"/>
      <c r="H683" s="43"/>
    </row>
    <row r="684">
      <c r="A684" s="23"/>
      <c r="F684" s="43"/>
      <c r="G684" s="43"/>
      <c r="H684" s="43"/>
    </row>
    <row r="685">
      <c r="A685" s="23"/>
      <c r="F685" s="43"/>
      <c r="G685" s="43"/>
      <c r="H685" s="43"/>
    </row>
    <row r="686">
      <c r="A686" s="23"/>
      <c r="F686" s="43"/>
      <c r="G686" s="43"/>
      <c r="H686" s="43"/>
    </row>
    <row r="687">
      <c r="A687" s="23"/>
      <c r="F687" s="43"/>
      <c r="G687" s="43"/>
      <c r="H687" s="43"/>
    </row>
    <row r="688">
      <c r="A688" s="23"/>
      <c r="F688" s="43"/>
      <c r="G688" s="43"/>
      <c r="H688" s="43"/>
    </row>
    <row r="689">
      <c r="A689" s="23"/>
      <c r="F689" s="43"/>
      <c r="G689" s="43"/>
      <c r="H689" s="43"/>
    </row>
    <row r="690">
      <c r="A690" s="23"/>
      <c r="F690" s="43"/>
      <c r="G690" s="43"/>
      <c r="H690" s="43"/>
    </row>
    <row r="691">
      <c r="A691" s="23"/>
      <c r="F691" s="43"/>
      <c r="G691" s="43"/>
      <c r="H691" s="43"/>
    </row>
    <row r="692">
      <c r="A692" s="23"/>
      <c r="F692" s="43"/>
      <c r="G692" s="43"/>
      <c r="H692" s="43"/>
    </row>
    <row r="693">
      <c r="A693" s="23"/>
      <c r="F693" s="43"/>
      <c r="G693" s="43"/>
      <c r="H693" s="43"/>
    </row>
    <row r="694">
      <c r="A694" s="23"/>
      <c r="F694" s="43"/>
      <c r="G694" s="43"/>
      <c r="H694" s="43"/>
    </row>
    <row r="695">
      <c r="A695" s="23"/>
      <c r="F695" s="43"/>
      <c r="G695" s="43"/>
      <c r="H695" s="43"/>
    </row>
    <row r="696">
      <c r="A696" s="23"/>
      <c r="F696" s="43"/>
      <c r="G696" s="43"/>
      <c r="H696" s="43"/>
    </row>
    <row r="697">
      <c r="A697" s="23"/>
      <c r="F697" s="43"/>
      <c r="G697" s="43"/>
      <c r="H697" s="43"/>
    </row>
    <row r="698">
      <c r="A698" s="23"/>
      <c r="F698" s="43"/>
      <c r="G698" s="43"/>
      <c r="H698" s="43"/>
    </row>
    <row r="699">
      <c r="A699" s="23"/>
      <c r="F699" s="43"/>
      <c r="G699" s="43"/>
      <c r="H699" s="43"/>
    </row>
    <row r="700">
      <c r="A700" s="23"/>
      <c r="F700" s="43"/>
      <c r="G700" s="43"/>
      <c r="H700" s="43"/>
    </row>
    <row r="701">
      <c r="A701" s="23"/>
      <c r="F701" s="43"/>
      <c r="G701" s="43"/>
      <c r="H701" s="43"/>
    </row>
    <row r="702">
      <c r="A702" s="23"/>
      <c r="F702" s="43"/>
      <c r="G702" s="43"/>
      <c r="H702" s="43"/>
    </row>
    <row r="703">
      <c r="A703" s="23"/>
      <c r="F703" s="43"/>
      <c r="G703" s="43"/>
      <c r="H703" s="43"/>
    </row>
    <row r="704">
      <c r="A704" s="23"/>
      <c r="F704" s="43"/>
      <c r="G704" s="43"/>
      <c r="H704" s="43"/>
    </row>
    <row r="705">
      <c r="A705" s="23"/>
      <c r="F705" s="43"/>
      <c r="G705" s="43"/>
      <c r="H705" s="43"/>
    </row>
    <row r="706">
      <c r="A706" s="23"/>
      <c r="F706" s="43"/>
      <c r="G706" s="43"/>
      <c r="H706" s="43"/>
    </row>
    <row r="707">
      <c r="A707" s="23"/>
      <c r="F707" s="43"/>
      <c r="G707" s="43"/>
      <c r="H707" s="43"/>
    </row>
    <row r="708">
      <c r="A708" s="23"/>
      <c r="F708" s="43"/>
      <c r="G708" s="43"/>
      <c r="H708" s="43"/>
    </row>
    <row r="709">
      <c r="A709" s="23"/>
      <c r="F709" s="43"/>
      <c r="G709" s="43"/>
      <c r="H709" s="43"/>
    </row>
    <row r="710">
      <c r="A710" s="23"/>
      <c r="F710" s="43"/>
      <c r="G710" s="43"/>
      <c r="H710" s="43"/>
    </row>
    <row r="711">
      <c r="A711" s="23"/>
      <c r="F711" s="43"/>
      <c r="G711" s="43"/>
      <c r="H711" s="43"/>
    </row>
    <row r="712">
      <c r="A712" s="23"/>
      <c r="F712" s="43"/>
      <c r="G712" s="43"/>
      <c r="H712" s="43"/>
    </row>
    <row r="713">
      <c r="A713" s="23"/>
      <c r="F713" s="43"/>
      <c r="G713" s="43"/>
      <c r="H713" s="43"/>
    </row>
    <row r="714">
      <c r="A714" s="23"/>
      <c r="F714" s="43"/>
      <c r="G714" s="43"/>
      <c r="H714" s="43"/>
    </row>
    <row r="715">
      <c r="A715" s="23"/>
      <c r="F715" s="43"/>
      <c r="G715" s="43"/>
      <c r="H715" s="43"/>
    </row>
    <row r="716">
      <c r="A716" s="23"/>
      <c r="F716" s="43"/>
      <c r="G716" s="43"/>
      <c r="H716" s="43"/>
    </row>
    <row r="717">
      <c r="A717" s="23"/>
      <c r="F717" s="43"/>
      <c r="G717" s="43"/>
      <c r="H717" s="43"/>
    </row>
    <row r="718">
      <c r="A718" s="23"/>
      <c r="F718" s="43"/>
      <c r="G718" s="43"/>
      <c r="H718" s="43"/>
    </row>
    <row r="719">
      <c r="A719" s="23"/>
      <c r="F719" s="43"/>
      <c r="G719" s="43"/>
      <c r="H719" s="43"/>
    </row>
    <row r="720">
      <c r="A720" s="23"/>
      <c r="F720" s="43"/>
      <c r="G720" s="43"/>
      <c r="H720" s="43"/>
    </row>
    <row r="721">
      <c r="A721" s="23"/>
      <c r="F721" s="43"/>
      <c r="G721" s="43"/>
      <c r="H721" s="43"/>
    </row>
    <row r="722">
      <c r="A722" s="23"/>
      <c r="F722" s="43"/>
      <c r="G722" s="43"/>
      <c r="H722" s="43"/>
    </row>
    <row r="723">
      <c r="A723" s="23"/>
      <c r="F723" s="43"/>
      <c r="G723" s="43"/>
      <c r="H723" s="43"/>
    </row>
    <row r="724">
      <c r="A724" s="23"/>
      <c r="F724" s="43"/>
      <c r="G724" s="43"/>
      <c r="H724" s="43"/>
    </row>
    <row r="725">
      <c r="A725" s="23"/>
      <c r="F725" s="43"/>
      <c r="G725" s="43"/>
      <c r="H725" s="43"/>
    </row>
    <row r="726">
      <c r="A726" s="23"/>
      <c r="F726" s="43"/>
      <c r="G726" s="43"/>
      <c r="H726" s="43"/>
    </row>
    <row r="727">
      <c r="A727" s="23"/>
      <c r="F727" s="43"/>
      <c r="G727" s="43"/>
      <c r="H727" s="43"/>
    </row>
    <row r="728">
      <c r="A728" s="23"/>
      <c r="F728" s="43"/>
      <c r="G728" s="43"/>
      <c r="H728" s="43"/>
    </row>
    <row r="729">
      <c r="A729" s="23"/>
      <c r="F729" s="43"/>
      <c r="G729" s="43"/>
      <c r="H729" s="43"/>
    </row>
    <row r="730">
      <c r="A730" s="23"/>
      <c r="F730" s="43"/>
      <c r="G730" s="43"/>
      <c r="H730" s="43"/>
    </row>
    <row r="731">
      <c r="A731" s="23"/>
      <c r="F731" s="43"/>
      <c r="G731" s="43"/>
      <c r="H731" s="43"/>
    </row>
    <row r="732">
      <c r="A732" s="23"/>
      <c r="F732" s="43"/>
      <c r="G732" s="43"/>
      <c r="H732" s="43"/>
    </row>
    <row r="733">
      <c r="A733" s="23"/>
      <c r="F733" s="43"/>
      <c r="G733" s="43"/>
      <c r="H733" s="43"/>
    </row>
    <row r="734">
      <c r="A734" s="23"/>
      <c r="F734" s="43"/>
      <c r="G734" s="43"/>
      <c r="H734" s="43"/>
    </row>
    <row r="735">
      <c r="A735" s="23"/>
      <c r="F735" s="43"/>
      <c r="G735" s="43"/>
      <c r="H735" s="43"/>
    </row>
    <row r="736">
      <c r="A736" s="23"/>
      <c r="F736" s="43"/>
      <c r="G736" s="43"/>
      <c r="H736" s="43"/>
    </row>
    <row r="737">
      <c r="A737" s="23"/>
      <c r="F737" s="43"/>
      <c r="G737" s="43"/>
      <c r="H737" s="43"/>
    </row>
    <row r="738">
      <c r="A738" s="23"/>
      <c r="F738" s="43"/>
      <c r="G738" s="43"/>
      <c r="H738" s="43"/>
    </row>
    <row r="739">
      <c r="A739" s="23"/>
      <c r="F739" s="43"/>
      <c r="G739" s="43"/>
      <c r="H739" s="43"/>
    </row>
    <row r="740">
      <c r="A740" s="23"/>
      <c r="F740" s="43"/>
      <c r="G740" s="43"/>
      <c r="H740" s="43"/>
    </row>
    <row r="741">
      <c r="A741" s="23"/>
      <c r="F741" s="43"/>
      <c r="G741" s="43"/>
      <c r="H741" s="43"/>
    </row>
    <row r="742">
      <c r="A742" s="23"/>
      <c r="F742" s="43"/>
      <c r="G742" s="43"/>
      <c r="H742" s="43"/>
    </row>
    <row r="743">
      <c r="A743" s="23"/>
      <c r="F743" s="43"/>
      <c r="G743" s="43"/>
      <c r="H743" s="43"/>
    </row>
    <row r="744">
      <c r="A744" s="23"/>
      <c r="F744" s="43"/>
      <c r="G744" s="43"/>
      <c r="H744" s="43"/>
    </row>
    <row r="745">
      <c r="A745" s="23"/>
      <c r="F745" s="43"/>
      <c r="G745" s="43"/>
      <c r="H745" s="43"/>
    </row>
    <row r="746">
      <c r="A746" s="23"/>
      <c r="F746" s="43"/>
      <c r="G746" s="43"/>
      <c r="H746" s="43"/>
    </row>
    <row r="747">
      <c r="A747" s="23"/>
      <c r="F747" s="43"/>
      <c r="G747" s="43"/>
      <c r="H747" s="43"/>
    </row>
    <row r="748">
      <c r="A748" s="23"/>
      <c r="F748" s="43"/>
      <c r="G748" s="43"/>
      <c r="H748" s="43"/>
    </row>
    <row r="749">
      <c r="A749" s="23"/>
      <c r="F749" s="43"/>
      <c r="G749" s="43"/>
      <c r="H749" s="43"/>
    </row>
    <row r="750">
      <c r="A750" s="23"/>
      <c r="F750" s="43"/>
      <c r="G750" s="43"/>
      <c r="H750" s="43"/>
    </row>
    <row r="751">
      <c r="A751" s="23"/>
      <c r="F751" s="43"/>
      <c r="G751" s="43"/>
      <c r="H751" s="43"/>
    </row>
    <row r="752">
      <c r="A752" s="23"/>
      <c r="F752" s="43"/>
      <c r="G752" s="43"/>
      <c r="H752" s="43"/>
    </row>
    <row r="753">
      <c r="A753" s="23"/>
      <c r="F753" s="43"/>
      <c r="G753" s="43"/>
      <c r="H753" s="43"/>
    </row>
    <row r="754">
      <c r="A754" s="23"/>
      <c r="F754" s="43"/>
      <c r="G754" s="43"/>
      <c r="H754" s="43"/>
    </row>
    <row r="755">
      <c r="A755" s="23"/>
      <c r="F755" s="43"/>
      <c r="G755" s="43"/>
      <c r="H755" s="43"/>
    </row>
    <row r="756">
      <c r="A756" s="23"/>
      <c r="F756" s="43"/>
      <c r="G756" s="43"/>
      <c r="H756" s="43"/>
    </row>
    <row r="757">
      <c r="A757" s="23"/>
      <c r="F757" s="43"/>
      <c r="G757" s="43"/>
      <c r="H757" s="43"/>
    </row>
    <row r="758">
      <c r="A758" s="23"/>
      <c r="F758" s="43"/>
      <c r="G758" s="43"/>
      <c r="H758" s="43"/>
    </row>
    <row r="759">
      <c r="A759" s="23"/>
      <c r="F759" s="43"/>
      <c r="G759" s="43"/>
      <c r="H759" s="43"/>
    </row>
    <row r="760">
      <c r="A760" s="23"/>
      <c r="F760" s="43"/>
      <c r="G760" s="43"/>
      <c r="H760" s="43"/>
    </row>
    <row r="761">
      <c r="A761" s="23"/>
      <c r="F761" s="43"/>
      <c r="G761" s="43"/>
      <c r="H761" s="43"/>
    </row>
    <row r="762">
      <c r="A762" s="23"/>
      <c r="F762" s="43"/>
      <c r="G762" s="43"/>
      <c r="H762" s="43"/>
    </row>
    <row r="763">
      <c r="A763" s="23"/>
      <c r="F763" s="43"/>
      <c r="G763" s="43"/>
      <c r="H763" s="43"/>
    </row>
    <row r="764">
      <c r="A764" s="23"/>
      <c r="F764" s="43"/>
      <c r="G764" s="43"/>
      <c r="H764" s="43"/>
    </row>
    <row r="765">
      <c r="A765" s="23"/>
      <c r="F765" s="43"/>
      <c r="G765" s="43"/>
      <c r="H765" s="43"/>
    </row>
    <row r="766">
      <c r="A766" s="23"/>
      <c r="F766" s="43"/>
      <c r="G766" s="43"/>
      <c r="H766" s="43"/>
    </row>
    <row r="767">
      <c r="A767" s="23"/>
      <c r="F767" s="43"/>
      <c r="G767" s="43"/>
      <c r="H767" s="43"/>
    </row>
    <row r="768">
      <c r="A768" s="23"/>
      <c r="F768" s="43"/>
      <c r="G768" s="43"/>
      <c r="H768" s="43"/>
    </row>
    <row r="769">
      <c r="A769" s="23"/>
      <c r="F769" s="43"/>
      <c r="G769" s="43"/>
      <c r="H769" s="43"/>
    </row>
    <row r="770">
      <c r="A770" s="23"/>
      <c r="F770" s="43"/>
      <c r="G770" s="43"/>
      <c r="H770" s="43"/>
    </row>
    <row r="771">
      <c r="A771" s="23"/>
      <c r="F771" s="43"/>
      <c r="G771" s="43"/>
      <c r="H771" s="43"/>
    </row>
    <row r="772">
      <c r="A772" s="23"/>
      <c r="F772" s="43"/>
      <c r="G772" s="43"/>
      <c r="H772" s="43"/>
    </row>
    <row r="773">
      <c r="A773" s="23"/>
      <c r="F773" s="43"/>
      <c r="G773" s="43"/>
      <c r="H773" s="43"/>
    </row>
    <row r="774">
      <c r="A774" s="23"/>
      <c r="F774" s="43"/>
      <c r="G774" s="43"/>
      <c r="H774" s="43"/>
    </row>
    <row r="775">
      <c r="A775" s="23"/>
      <c r="F775" s="43"/>
      <c r="G775" s="43"/>
      <c r="H775" s="43"/>
    </row>
    <row r="776">
      <c r="A776" s="23"/>
      <c r="F776" s="43"/>
      <c r="G776" s="43"/>
      <c r="H776" s="43"/>
    </row>
    <row r="777">
      <c r="A777" s="23"/>
      <c r="F777" s="43"/>
      <c r="G777" s="43"/>
      <c r="H777" s="43"/>
    </row>
    <row r="778">
      <c r="A778" s="23"/>
      <c r="F778" s="43"/>
      <c r="G778" s="43"/>
      <c r="H778" s="43"/>
    </row>
    <row r="779">
      <c r="A779" s="23"/>
      <c r="F779" s="43"/>
      <c r="G779" s="43"/>
      <c r="H779" s="43"/>
    </row>
    <row r="780">
      <c r="A780" s="23"/>
      <c r="F780" s="43"/>
      <c r="G780" s="43"/>
      <c r="H780" s="43"/>
    </row>
    <row r="781">
      <c r="A781" s="23"/>
      <c r="F781" s="43"/>
      <c r="G781" s="43"/>
      <c r="H781" s="43"/>
    </row>
    <row r="782">
      <c r="A782" s="23"/>
      <c r="F782" s="43"/>
      <c r="G782" s="43"/>
      <c r="H782" s="43"/>
    </row>
    <row r="783">
      <c r="A783" s="23"/>
      <c r="F783" s="43"/>
      <c r="G783" s="43"/>
      <c r="H783" s="43"/>
    </row>
    <row r="784">
      <c r="A784" s="23"/>
      <c r="F784" s="43"/>
      <c r="G784" s="43"/>
      <c r="H784" s="43"/>
    </row>
    <row r="785">
      <c r="A785" s="23"/>
      <c r="F785" s="43"/>
      <c r="G785" s="43"/>
      <c r="H785" s="43"/>
    </row>
    <row r="786">
      <c r="A786" s="23"/>
      <c r="F786" s="43"/>
      <c r="G786" s="43"/>
      <c r="H786" s="43"/>
    </row>
    <row r="787">
      <c r="A787" s="23"/>
      <c r="F787" s="43"/>
      <c r="G787" s="43"/>
      <c r="H787" s="43"/>
    </row>
    <row r="788">
      <c r="A788" s="23"/>
      <c r="F788" s="43"/>
      <c r="G788" s="43"/>
      <c r="H788" s="43"/>
    </row>
    <row r="789">
      <c r="A789" s="23"/>
      <c r="F789" s="43"/>
      <c r="G789" s="43"/>
      <c r="H789" s="43"/>
    </row>
    <row r="790">
      <c r="A790" s="23"/>
      <c r="F790" s="43"/>
      <c r="G790" s="43"/>
      <c r="H790" s="43"/>
    </row>
    <row r="791">
      <c r="A791" s="23"/>
      <c r="F791" s="43"/>
      <c r="G791" s="43"/>
      <c r="H791" s="43"/>
    </row>
    <row r="792">
      <c r="A792" s="23"/>
      <c r="F792" s="43"/>
      <c r="G792" s="43"/>
      <c r="H792" s="43"/>
    </row>
    <row r="793">
      <c r="A793" s="23"/>
      <c r="F793" s="43"/>
      <c r="G793" s="43"/>
      <c r="H793" s="43"/>
    </row>
    <row r="794">
      <c r="A794" s="23"/>
      <c r="F794" s="43"/>
      <c r="G794" s="43"/>
      <c r="H794" s="43"/>
    </row>
    <row r="795">
      <c r="A795" s="23"/>
      <c r="F795" s="43"/>
      <c r="G795" s="43"/>
      <c r="H795" s="43"/>
    </row>
    <row r="796">
      <c r="A796" s="23"/>
      <c r="F796" s="43"/>
      <c r="G796" s="43"/>
      <c r="H796" s="43"/>
    </row>
    <row r="797">
      <c r="A797" s="23"/>
      <c r="F797" s="43"/>
      <c r="G797" s="43"/>
      <c r="H797" s="43"/>
    </row>
    <row r="798">
      <c r="A798" s="23"/>
      <c r="F798" s="43"/>
      <c r="G798" s="43"/>
      <c r="H798" s="43"/>
    </row>
    <row r="799">
      <c r="A799" s="23"/>
      <c r="F799" s="43"/>
      <c r="G799" s="43"/>
      <c r="H799" s="43"/>
    </row>
    <row r="800">
      <c r="A800" s="23"/>
      <c r="F800" s="43"/>
      <c r="G800" s="43"/>
      <c r="H800" s="43"/>
    </row>
    <row r="801">
      <c r="A801" s="23"/>
      <c r="F801" s="43"/>
      <c r="G801" s="43"/>
      <c r="H801" s="43"/>
    </row>
    <row r="802">
      <c r="A802" s="23"/>
      <c r="F802" s="43"/>
      <c r="G802" s="43"/>
      <c r="H802" s="43"/>
    </row>
    <row r="803">
      <c r="A803" s="23"/>
      <c r="F803" s="43"/>
      <c r="G803" s="43"/>
      <c r="H803" s="43"/>
    </row>
    <row r="804">
      <c r="A804" s="23"/>
      <c r="F804" s="43"/>
      <c r="G804" s="43"/>
      <c r="H804" s="43"/>
    </row>
    <row r="805">
      <c r="A805" s="23"/>
      <c r="F805" s="43"/>
      <c r="G805" s="43"/>
      <c r="H805" s="43"/>
    </row>
    <row r="806">
      <c r="A806" s="23"/>
      <c r="F806" s="43"/>
      <c r="G806" s="43"/>
      <c r="H806" s="43"/>
    </row>
    <row r="807">
      <c r="A807" s="23"/>
      <c r="F807" s="43"/>
      <c r="G807" s="43"/>
      <c r="H807" s="43"/>
    </row>
    <row r="808">
      <c r="A808" s="23"/>
      <c r="F808" s="43"/>
      <c r="G808" s="43"/>
      <c r="H808" s="43"/>
    </row>
    <row r="809">
      <c r="A809" s="23"/>
      <c r="F809" s="43"/>
      <c r="G809" s="43"/>
      <c r="H809" s="43"/>
    </row>
    <row r="810">
      <c r="A810" s="23"/>
      <c r="F810" s="43"/>
      <c r="G810" s="43"/>
      <c r="H810" s="43"/>
    </row>
    <row r="811">
      <c r="A811" s="23"/>
      <c r="F811" s="43"/>
      <c r="G811" s="43"/>
      <c r="H811" s="43"/>
    </row>
    <row r="812">
      <c r="A812" s="23"/>
      <c r="F812" s="43"/>
      <c r="G812" s="43"/>
      <c r="H812" s="43"/>
    </row>
    <row r="813">
      <c r="A813" s="23"/>
      <c r="F813" s="43"/>
      <c r="G813" s="43"/>
      <c r="H813" s="43"/>
    </row>
    <row r="814">
      <c r="A814" s="23"/>
      <c r="F814" s="43"/>
      <c r="G814" s="43"/>
      <c r="H814" s="43"/>
    </row>
    <row r="815">
      <c r="A815" s="23"/>
      <c r="F815" s="43"/>
      <c r="G815" s="43"/>
      <c r="H815" s="43"/>
    </row>
    <row r="816">
      <c r="A816" s="23"/>
      <c r="F816" s="43"/>
      <c r="G816" s="43"/>
      <c r="H816" s="43"/>
    </row>
    <row r="817">
      <c r="A817" s="23"/>
      <c r="F817" s="43"/>
      <c r="G817" s="43"/>
      <c r="H817" s="43"/>
    </row>
    <row r="818">
      <c r="A818" s="23"/>
      <c r="F818" s="43"/>
      <c r="G818" s="43"/>
      <c r="H818" s="43"/>
    </row>
    <row r="819">
      <c r="A819" s="23"/>
      <c r="F819" s="43"/>
      <c r="G819" s="43"/>
      <c r="H819" s="43"/>
    </row>
    <row r="820">
      <c r="A820" s="23"/>
      <c r="F820" s="43"/>
      <c r="G820" s="43"/>
      <c r="H820" s="43"/>
    </row>
    <row r="821">
      <c r="A821" s="23"/>
      <c r="F821" s="43"/>
      <c r="G821" s="43"/>
      <c r="H821" s="43"/>
    </row>
    <row r="822">
      <c r="A822" s="23"/>
      <c r="F822" s="43"/>
      <c r="G822" s="43"/>
      <c r="H822" s="43"/>
    </row>
    <row r="823">
      <c r="A823" s="23"/>
      <c r="F823" s="43"/>
      <c r="G823" s="43"/>
      <c r="H823" s="43"/>
    </row>
    <row r="824">
      <c r="A824" s="23"/>
      <c r="F824" s="43"/>
      <c r="G824" s="43"/>
      <c r="H824" s="43"/>
    </row>
    <row r="825">
      <c r="A825" s="23"/>
      <c r="F825" s="43"/>
      <c r="G825" s="43"/>
      <c r="H825" s="43"/>
    </row>
    <row r="826">
      <c r="A826" s="23"/>
      <c r="F826" s="43"/>
      <c r="G826" s="43"/>
      <c r="H826" s="43"/>
    </row>
    <row r="827">
      <c r="A827" s="23"/>
      <c r="F827" s="43"/>
      <c r="G827" s="43"/>
      <c r="H827" s="43"/>
    </row>
    <row r="828">
      <c r="A828" s="23"/>
      <c r="F828" s="43"/>
      <c r="G828" s="43"/>
      <c r="H828" s="43"/>
    </row>
    <row r="829">
      <c r="A829" s="23"/>
      <c r="F829" s="43"/>
      <c r="G829" s="43"/>
      <c r="H829" s="43"/>
    </row>
    <row r="830">
      <c r="A830" s="23"/>
      <c r="F830" s="43"/>
      <c r="G830" s="43"/>
      <c r="H830" s="43"/>
    </row>
    <row r="831">
      <c r="A831" s="23"/>
      <c r="F831" s="43"/>
      <c r="G831" s="43"/>
      <c r="H831" s="43"/>
    </row>
    <row r="832">
      <c r="A832" s="23"/>
      <c r="F832" s="43"/>
      <c r="G832" s="43"/>
      <c r="H832" s="43"/>
    </row>
    <row r="833">
      <c r="A833" s="23"/>
      <c r="F833" s="43"/>
      <c r="G833" s="43"/>
      <c r="H833" s="43"/>
    </row>
    <row r="834">
      <c r="A834" s="23"/>
      <c r="F834" s="43"/>
      <c r="G834" s="43"/>
      <c r="H834" s="43"/>
    </row>
    <row r="835">
      <c r="A835" s="23"/>
      <c r="F835" s="43"/>
      <c r="G835" s="43"/>
      <c r="H835" s="43"/>
    </row>
    <row r="836">
      <c r="A836" s="23"/>
      <c r="F836" s="43"/>
      <c r="G836" s="43"/>
      <c r="H836" s="43"/>
    </row>
    <row r="837">
      <c r="A837" s="23"/>
      <c r="F837" s="43"/>
      <c r="G837" s="43"/>
      <c r="H837" s="43"/>
    </row>
    <row r="838">
      <c r="A838" s="23"/>
      <c r="F838" s="43"/>
      <c r="G838" s="43"/>
      <c r="H838" s="43"/>
    </row>
    <row r="839">
      <c r="A839" s="23"/>
      <c r="F839" s="43"/>
      <c r="G839" s="43"/>
      <c r="H839" s="43"/>
    </row>
    <row r="840">
      <c r="A840" s="23"/>
      <c r="F840" s="43"/>
      <c r="G840" s="43"/>
      <c r="H840" s="43"/>
    </row>
    <row r="841">
      <c r="A841" s="23"/>
      <c r="F841" s="43"/>
      <c r="G841" s="43"/>
      <c r="H841" s="43"/>
    </row>
    <row r="842">
      <c r="A842" s="23"/>
      <c r="F842" s="43"/>
      <c r="G842" s="43"/>
      <c r="H842" s="43"/>
    </row>
    <row r="843">
      <c r="A843" s="23"/>
      <c r="F843" s="43"/>
      <c r="G843" s="43"/>
      <c r="H843" s="43"/>
    </row>
    <row r="844">
      <c r="A844" s="23"/>
      <c r="F844" s="43"/>
      <c r="G844" s="43"/>
      <c r="H844" s="43"/>
    </row>
    <row r="845">
      <c r="A845" s="23"/>
      <c r="F845" s="43"/>
      <c r="G845" s="43"/>
      <c r="H845" s="43"/>
    </row>
    <row r="846">
      <c r="A846" s="23"/>
      <c r="F846" s="43"/>
      <c r="G846" s="43"/>
      <c r="H846" s="43"/>
    </row>
    <row r="847">
      <c r="A847" s="23"/>
      <c r="F847" s="43"/>
      <c r="G847" s="43"/>
      <c r="H847" s="43"/>
    </row>
    <row r="848">
      <c r="A848" s="23"/>
      <c r="F848" s="43"/>
      <c r="G848" s="43"/>
      <c r="H848" s="43"/>
    </row>
    <row r="849">
      <c r="A849" s="23"/>
      <c r="F849" s="43"/>
      <c r="G849" s="43"/>
      <c r="H849" s="43"/>
    </row>
    <row r="850">
      <c r="A850" s="23"/>
      <c r="F850" s="43"/>
      <c r="G850" s="43"/>
      <c r="H850" s="43"/>
    </row>
    <row r="851">
      <c r="A851" s="23"/>
      <c r="F851" s="43"/>
      <c r="G851" s="43"/>
      <c r="H851" s="43"/>
    </row>
    <row r="852">
      <c r="A852" s="23"/>
      <c r="F852" s="43"/>
      <c r="G852" s="43"/>
      <c r="H852" s="43"/>
    </row>
    <row r="853">
      <c r="A853" s="23"/>
      <c r="F853" s="43"/>
      <c r="G853" s="43"/>
      <c r="H853" s="43"/>
    </row>
    <row r="854">
      <c r="A854" s="23"/>
      <c r="F854" s="43"/>
      <c r="G854" s="43"/>
      <c r="H854" s="43"/>
    </row>
    <row r="855">
      <c r="A855" s="23"/>
      <c r="F855" s="43"/>
      <c r="G855" s="43"/>
      <c r="H855" s="43"/>
    </row>
    <row r="856">
      <c r="A856" s="23"/>
      <c r="F856" s="43"/>
      <c r="G856" s="43"/>
      <c r="H856" s="43"/>
    </row>
    <row r="857">
      <c r="A857" s="23"/>
      <c r="F857" s="43"/>
      <c r="G857" s="43"/>
      <c r="H857" s="43"/>
    </row>
    <row r="858">
      <c r="A858" s="23"/>
      <c r="F858" s="43"/>
      <c r="G858" s="43"/>
      <c r="H858" s="43"/>
    </row>
    <row r="859">
      <c r="A859" s="23"/>
      <c r="F859" s="43"/>
      <c r="G859" s="43"/>
      <c r="H859" s="43"/>
    </row>
    <row r="860">
      <c r="A860" s="23"/>
      <c r="F860" s="43"/>
      <c r="G860" s="43"/>
      <c r="H860" s="43"/>
    </row>
    <row r="861">
      <c r="A861" s="23"/>
      <c r="F861" s="43"/>
      <c r="G861" s="43"/>
      <c r="H861" s="43"/>
    </row>
    <row r="862">
      <c r="A862" s="23"/>
      <c r="F862" s="43"/>
      <c r="G862" s="43"/>
      <c r="H862" s="43"/>
    </row>
    <row r="863">
      <c r="A863" s="23"/>
      <c r="F863" s="43"/>
      <c r="G863" s="43"/>
      <c r="H863" s="43"/>
    </row>
    <row r="864">
      <c r="A864" s="23"/>
      <c r="F864" s="43"/>
      <c r="G864" s="43"/>
      <c r="H864" s="43"/>
    </row>
    <row r="865">
      <c r="A865" s="23"/>
      <c r="F865" s="43"/>
      <c r="G865" s="43"/>
      <c r="H865" s="43"/>
    </row>
    <row r="866">
      <c r="A866" s="23"/>
      <c r="F866" s="43"/>
      <c r="G866" s="43"/>
      <c r="H866" s="43"/>
    </row>
    <row r="867">
      <c r="A867" s="23"/>
      <c r="F867" s="43"/>
      <c r="G867" s="43"/>
      <c r="H867" s="43"/>
    </row>
    <row r="868">
      <c r="A868" s="23"/>
      <c r="F868" s="43"/>
      <c r="G868" s="43"/>
      <c r="H868" s="43"/>
    </row>
    <row r="869">
      <c r="A869" s="23"/>
      <c r="F869" s="43"/>
      <c r="G869" s="43"/>
      <c r="H869" s="43"/>
    </row>
    <row r="870">
      <c r="A870" s="23"/>
      <c r="F870" s="43"/>
      <c r="G870" s="43"/>
      <c r="H870" s="43"/>
    </row>
    <row r="871">
      <c r="A871" s="23"/>
      <c r="F871" s="43"/>
      <c r="G871" s="43"/>
      <c r="H871" s="43"/>
    </row>
    <row r="872">
      <c r="A872" s="23"/>
      <c r="F872" s="43"/>
      <c r="G872" s="43"/>
      <c r="H872" s="43"/>
    </row>
    <row r="873">
      <c r="A873" s="23"/>
      <c r="F873" s="43"/>
      <c r="G873" s="43"/>
      <c r="H873" s="43"/>
    </row>
    <row r="874">
      <c r="A874" s="23"/>
      <c r="F874" s="43"/>
      <c r="G874" s="43"/>
      <c r="H874" s="43"/>
    </row>
    <row r="875">
      <c r="A875" s="23"/>
      <c r="F875" s="43"/>
      <c r="G875" s="43"/>
      <c r="H875" s="43"/>
    </row>
    <row r="876">
      <c r="A876" s="23"/>
      <c r="F876" s="43"/>
      <c r="G876" s="43"/>
      <c r="H876" s="43"/>
    </row>
    <row r="877">
      <c r="A877" s="23"/>
      <c r="F877" s="43"/>
      <c r="G877" s="43"/>
      <c r="H877" s="43"/>
    </row>
    <row r="878">
      <c r="A878" s="23"/>
      <c r="F878" s="43"/>
      <c r="G878" s="43"/>
      <c r="H878" s="43"/>
    </row>
    <row r="879">
      <c r="A879" s="23"/>
      <c r="F879" s="43"/>
      <c r="G879" s="43"/>
      <c r="H879" s="43"/>
    </row>
    <row r="880">
      <c r="A880" s="23"/>
      <c r="F880" s="43"/>
      <c r="G880" s="43"/>
      <c r="H880" s="43"/>
    </row>
    <row r="881">
      <c r="A881" s="23"/>
      <c r="F881" s="43"/>
      <c r="G881" s="43"/>
      <c r="H881" s="43"/>
    </row>
    <row r="882">
      <c r="A882" s="23"/>
      <c r="F882" s="43"/>
      <c r="G882" s="43"/>
      <c r="H882" s="43"/>
    </row>
    <row r="883">
      <c r="A883" s="23"/>
      <c r="F883" s="43"/>
      <c r="G883" s="43"/>
      <c r="H883" s="43"/>
    </row>
    <row r="884">
      <c r="A884" s="23"/>
      <c r="F884" s="43"/>
      <c r="G884" s="43"/>
      <c r="H884" s="43"/>
    </row>
    <row r="885">
      <c r="A885" s="23"/>
      <c r="F885" s="43"/>
      <c r="G885" s="43"/>
      <c r="H885" s="43"/>
    </row>
    <row r="886">
      <c r="A886" s="23"/>
      <c r="F886" s="43"/>
      <c r="G886" s="43"/>
      <c r="H886" s="43"/>
    </row>
    <row r="887">
      <c r="A887" s="23"/>
      <c r="F887" s="43"/>
      <c r="G887" s="43"/>
      <c r="H887" s="43"/>
    </row>
    <row r="888">
      <c r="A888" s="23"/>
      <c r="F888" s="43"/>
      <c r="G888" s="43"/>
      <c r="H888" s="43"/>
    </row>
    <row r="889">
      <c r="A889" s="23"/>
      <c r="F889" s="43"/>
      <c r="G889" s="43"/>
      <c r="H889" s="43"/>
    </row>
    <row r="890">
      <c r="A890" s="23"/>
      <c r="F890" s="43"/>
      <c r="G890" s="43"/>
      <c r="H890" s="43"/>
    </row>
    <row r="891">
      <c r="A891" s="23"/>
      <c r="F891" s="43"/>
      <c r="G891" s="43"/>
      <c r="H891" s="43"/>
    </row>
    <row r="892">
      <c r="A892" s="23"/>
      <c r="F892" s="43"/>
      <c r="G892" s="43"/>
      <c r="H892" s="43"/>
    </row>
    <row r="893">
      <c r="A893" s="23"/>
      <c r="F893" s="43"/>
      <c r="G893" s="43"/>
      <c r="H893" s="43"/>
    </row>
    <row r="894">
      <c r="A894" s="23"/>
      <c r="F894" s="43"/>
      <c r="G894" s="43"/>
      <c r="H894" s="43"/>
    </row>
    <row r="895">
      <c r="A895" s="23"/>
      <c r="F895" s="43"/>
      <c r="G895" s="43"/>
      <c r="H895" s="43"/>
    </row>
    <row r="896">
      <c r="A896" s="23"/>
      <c r="F896" s="43"/>
      <c r="G896" s="43"/>
      <c r="H896" s="43"/>
    </row>
    <row r="897">
      <c r="A897" s="23"/>
      <c r="F897" s="43"/>
      <c r="G897" s="43"/>
      <c r="H897" s="43"/>
    </row>
    <row r="898">
      <c r="A898" s="23"/>
      <c r="F898" s="43"/>
      <c r="G898" s="43"/>
      <c r="H898" s="43"/>
    </row>
    <row r="899">
      <c r="A899" s="23"/>
      <c r="F899" s="43"/>
      <c r="G899" s="43"/>
      <c r="H899" s="43"/>
    </row>
    <row r="900">
      <c r="A900" s="23"/>
      <c r="F900" s="43"/>
      <c r="G900" s="43"/>
      <c r="H900" s="43"/>
    </row>
    <row r="901">
      <c r="A901" s="23"/>
      <c r="F901" s="43"/>
      <c r="G901" s="43"/>
      <c r="H901" s="43"/>
    </row>
    <row r="902">
      <c r="A902" s="23"/>
      <c r="F902" s="43"/>
      <c r="G902" s="43"/>
      <c r="H902" s="43"/>
    </row>
    <row r="903">
      <c r="A903" s="23"/>
      <c r="F903" s="43"/>
      <c r="G903" s="43"/>
      <c r="H903" s="43"/>
    </row>
    <row r="904">
      <c r="A904" s="23"/>
      <c r="F904" s="43"/>
      <c r="G904" s="43"/>
      <c r="H904" s="43"/>
    </row>
    <row r="905">
      <c r="A905" s="23"/>
      <c r="F905" s="43"/>
      <c r="G905" s="43"/>
      <c r="H905" s="43"/>
    </row>
    <row r="906">
      <c r="A906" s="23"/>
      <c r="F906" s="43"/>
      <c r="G906" s="43"/>
      <c r="H906" s="43"/>
    </row>
    <row r="907">
      <c r="A907" s="23"/>
      <c r="F907" s="43"/>
      <c r="G907" s="43"/>
      <c r="H907" s="43"/>
    </row>
    <row r="908">
      <c r="A908" s="23"/>
      <c r="F908" s="43"/>
      <c r="G908" s="43"/>
      <c r="H908" s="43"/>
    </row>
    <row r="909">
      <c r="A909" s="23"/>
      <c r="F909" s="43"/>
      <c r="G909" s="43"/>
      <c r="H909" s="43"/>
    </row>
    <row r="910">
      <c r="A910" s="23"/>
      <c r="F910" s="43"/>
      <c r="G910" s="43"/>
      <c r="H910" s="43"/>
    </row>
    <row r="911">
      <c r="A911" s="23"/>
      <c r="F911" s="43"/>
      <c r="G911" s="43"/>
      <c r="H911" s="43"/>
    </row>
    <row r="912">
      <c r="A912" s="23"/>
      <c r="F912" s="43"/>
      <c r="G912" s="43"/>
      <c r="H912" s="43"/>
    </row>
    <row r="913">
      <c r="A913" s="23"/>
      <c r="F913" s="43"/>
      <c r="G913" s="43"/>
      <c r="H913" s="43"/>
    </row>
    <row r="914">
      <c r="A914" s="23"/>
      <c r="F914" s="43"/>
      <c r="G914" s="43"/>
      <c r="H914" s="43"/>
    </row>
    <row r="915">
      <c r="A915" s="23"/>
      <c r="F915" s="43"/>
      <c r="G915" s="43"/>
      <c r="H915" s="43"/>
    </row>
    <row r="916">
      <c r="A916" s="23"/>
      <c r="F916" s="43"/>
      <c r="G916" s="43"/>
      <c r="H916" s="43"/>
    </row>
    <row r="917">
      <c r="A917" s="23"/>
      <c r="F917" s="43"/>
      <c r="G917" s="43"/>
      <c r="H917" s="43"/>
    </row>
    <row r="918">
      <c r="A918" s="23"/>
      <c r="F918" s="43"/>
      <c r="G918" s="43"/>
      <c r="H918" s="43"/>
    </row>
    <row r="919">
      <c r="A919" s="23"/>
      <c r="F919" s="43"/>
      <c r="G919" s="43"/>
      <c r="H919" s="43"/>
    </row>
    <row r="920">
      <c r="A920" s="23"/>
      <c r="F920" s="43"/>
      <c r="G920" s="43"/>
      <c r="H920" s="43"/>
    </row>
    <row r="921">
      <c r="A921" s="23"/>
      <c r="F921" s="43"/>
      <c r="G921" s="43"/>
      <c r="H921" s="43"/>
    </row>
    <row r="922">
      <c r="A922" s="23"/>
      <c r="F922" s="43"/>
      <c r="G922" s="43"/>
      <c r="H922" s="43"/>
    </row>
    <row r="923">
      <c r="A923" s="23"/>
      <c r="F923" s="43"/>
      <c r="G923" s="43"/>
      <c r="H923" s="43"/>
    </row>
    <row r="924">
      <c r="A924" s="23"/>
      <c r="F924" s="43"/>
      <c r="G924" s="43"/>
      <c r="H924" s="43"/>
    </row>
    <row r="925">
      <c r="A925" s="23"/>
      <c r="F925" s="43"/>
      <c r="G925" s="43"/>
      <c r="H925" s="43"/>
    </row>
    <row r="926">
      <c r="A926" s="23"/>
      <c r="F926" s="43"/>
      <c r="G926" s="43"/>
      <c r="H926" s="43"/>
    </row>
    <row r="927">
      <c r="A927" s="23"/>
      <c r="F927" s="43"/>
      <c r="G927" s="43"/>
      <c r="H927" s="43"/>
    </row>
    <row r="928">
      <c r="A928" s="23"/>
      <c r="F928" s="43"/>
      <c r="G928" s="43"/>
      <c r="H928" s="43"/>
    </row>
    <row r="929">
      <c r="A929" s="23"/>
      <c r="F929" s="43"/>
      <c r="G929" s="43"/>
      <c r="H929" s="43"/>
    </row>
    <row r="930">
      <c r="A930" s="23"/>
      <c r="F930" s="43"/>
      <c r="G930" s="43"/>
      <c r="H930" s="43"/>
    </row>
    <row r="931">
      <c r="A931" s="23"/>
      <c r="F931" s="43"/>
      <c r="G931" s="43"/>
      <c r="H931" s="43"/>
    </row>
    <row r="932">
      <c r="A932" s="23"/>
      <c r="F932" s="43"/>
      <c r="G932" s="43"/>
      <c r="H932" s="43"/>
    </row>
    <row r="933">
      <c r="A933" s="23"/>
      <c r="F933" s="43"/>
      <c r="G933" s="43"/>
      <c r="H933" s="43"/>
    </row>
    <row r="934">
      <c r="A934" s="23"/>
      <c r="F934" s="43"/>
      <c r="G934" s="43"/>
      <c r="H934" s="43"/>
    </row>
    <row r="935">
      <c r="A935" s="23"/>
      <c r="F935" s="43"/>
      <c r="G935" s="43"/>
      <c r="H935" s="43"/>
    </row>
    <row r="936">
      <c r="A936" s="23"/>
      <c r="F936" s="43"/>
      <c r="G936" s="43"/>
      <c r="H936" s="43"/>
    </row>
    <row r="937">
      <c r="A937" s="23"/>
      <c r="F937" s="43"/>
      <c r="G937" s="43"/>
      <c r="H937" s="43"/>
    </row>
    <row r="938">
      <c r="A938" s="23"/>
      <c r="F938" s="43"/>
      <c r="G938" s="43"/>
      <c r="H938" s="43"/>
    </row>
    <row r="939">
      <c r="A939" s="23"/>
      <c r="F939" s="43"/>
      <c r="G939" s="43"/>
      <c r="H939" s="43"/>
    </row>
    <row r="940">
      <c r="A940" s="23"/>
      <c r="F940" s="43"/>
      <c r="G940" s="43"/>
      <c r="H940" s="43"/>
    </row>
    <row r="941">
      <c r="A941" s="23"/>
      <c r="F941" s="43"/>
      <c r="G941" s="43"/>
      <c r="H941" s="43"/>
    </row>
    <row r="942">
      <c r="A942" s="23"/>
      <c r="F942" s="43"/>
      <c r="G942" s="43"/>
      <c r="H942" s="43"/>
    </row>
    <row r="943">
      <c r="A943" s="23"/>
      <c r="F943" s="43"/>
      <c r="G943" s="43"/>
      <c r="H943" s="43"/>
    </row>
    <row r="944">
      <c r="A944" s="23"/>
      <c r="F944" s="43"/>
      <c r="G944" s="43"/>
      <c r="H944" s="43"/>
    </row>
    <row r="945">
      <c r="A945" s="23"/>
      <c r="F945" s="43"/>
      <c r="G945" s="43"/>
      <c r="H945" s="43"/>
    </row>
    <row r="946">
      <c r="A946" s="23"/>
      <c r="F946" s="43"/>
      <c r="G946" s="43"/>
      <c r="H946" s="43"/>
    </row>
    <row r="947">
      <c r="A947" s="23"/>
      <c r="F947" s="43"/>
      <c r="G947" s="43"/>
      <c r="H947" s="43"/>
    </row>
    <row r="948">
      <c r="A948" s="23"/>
      <c r="F948" s="43"/>
      <c r="G948" s="43"/>
      <c r="H948" s="43"/>
    </row>
    <row r="949">
      <c r="A949" s="23"/>
      <c r="F949" s="43"/>
      <c r="G949" s="43"/>
      <c r="H949" s="43"/>
    </row>
    <row r="950">
      <c r="A950" s="23"/>
      <c r="F950" s="43"/>
      <c r="G950" s="43"/>
      <c r="H950" s="43"/>
    </row>
    <row r="951">
      <c r="A951" s="23"/>
      <c r="F951" s="43"/>
      <c r="G951" s="43"/>
      <c r="H951" s="43"/>
    </row>
    <row r="952">
      <c r="A952" s="23"/>
      <c r="F952" s="43"/>
      <c r="G952" s="43"/>
      <c r="H952" s="43"/>
    </row>
    <row r="953">
      <c r="A953" s="23"/>
      <c r="F953" s="43"/>
      <c r="G953" s="43"/>
      <c r="H953" s="43"/>
    </row>
    <row r="954">
      <c r="A954" s="23"/>
      <c r="F954" s="43"/>
      <c r="G954" s="43"/>
      <c r="H954" s="43"/>
    </row>
    <row r="955">
      <c r="A955" s="23"/>
      <c r="F955" s="43"/>
      <c r="G955" s="43"/>
      <c r="H955" s="43"/>
    </row>
    <row r="956">
      <c r="A956" s="23"/>
      <c r="F956" s="43"/>
      <c r="G956" s="43"/>
      <c r="H956" s="43"/>
    </row>
    <row r="957">
      <c r="A957" s="23"/>
      <c r="F957" s="43"/>
      <c r="G957" s="43"/>
      <c r="H957" s="43"/>
    </row>
    <row r="958">
      <c r="A958" s="23"/>
      <c r="F958" s="43"/>
      <c r="G958" s="43"/>
      <c r="H958" s="43"/>
    </row>
    <row r="959">
      <c r="A959" s="23"/>
      <c r="F959" s="43"/>
      <c r="G959" s="43"/>
      <c r="H959" s="43"/>
    </row>
    <row r="960">
      <c r="A960" s="23"/>
      <c r="F960" s="43"/>
      <c r="G960" s="43"/>
      <c r="H960" s="43"/>
    </row>
    <row r="961">
      <c r="A961" s="23"/>
      <c r="F961" s="43"/>
      <c r="G961" s="43"/>
      <c r="H961" s="43"/>
    </row>
    <row r="962">
      <c r="A962" s="23"/>
      <c r="F962" s="43"/>
      <c r="G962" s="43"/>
      <c r="H962" s="43"/>
    </row>
    <row r="963">
      <c r="A963" s="23"/>
      <c r="F963" s="43"/>
      <c r="G963" s="43"/>
      <c r="H963" s="43"/>
    </row>
    <row r="964">
      <c r="A964" s="23"/>
      <c r="F964" s="43"/>
      <c r="G964" s="43"/>
      <c r="H964" s="43"/>
    </row>
    <row r="965">
      <c r="A965" s="23"/>
      <c r="F965" s="43"/>
      <c r="G965" s="43"/>
      <c r="H965" s="43"/>
    </row>
    <row r="966">
      <c r="A966" s="23"/>
      <c r="F966" s="43"/>
      <c r="G966" s="43"/>
      <c r="H966" s="43"/>
    </row>
    <row r="967">
      <c r="A967" s="23"/>
      <c r="F967" s="43"/>
      <c r="G967" s="43"/>
      <c r="H967" s="43"/>
    </row>
    <row r="968">
      <c r="A968" s="23"/>
      <c r="F968" s="43"/>
      <c r="G968" s="43"/>
      <c r="H968" s="43"/>
    </row>
    <row r="969">
      <c r="A969" s="23"/>
      <c r="F969" s="43"/>
      <c r="G969" s="43"/>
      <c r="H969" s="43"/>
    </row>
    <row r="970">
      <c r="A970" s="23"/>
      <c r="F970" s="43"/>
      <c r="G970" s="43"/>
      <c r="H970" s="43"/>
    </row>
    <row r="971">
      <c r="A971" s="23"/>
      <c r="F971" s="43"/>
      <c r="G971" s="43"/>
      <c r="H971" s="43"/>
    </row>
    <row r="972">
      <c r="A972" s="23"/>
      <c r="F972" s="43"/>
      <c r="G972" s="43"/>
      <c r="H972" s="43"/>
    </row>
    <row r="973">
      <c r="A973" s="23"/>
      <c r="F973" s="43"/>
      <c r="G973" s="43"/>
      <c r="H973" s="43"/>
    </row>
    <row r="974">
      <c r="A974" s="23"/>
      <c r="F974" s="43"/>
      <c r="G974" s="43"/>
      <c r="H974" s="43"/>
    </row>
    <row r="975">
      <c r="A975" s="23"/>
      <c r="F975" s="43"/>
      <c r="G975" s="43"/>
      <c r="H975" s="43"/>
    </row>
    <row r="976">
      <c r="A976" s="23"/>
      <c r="F976" s="43"/>
      <c r="G976" s="43"/>
      <c r="H976" s="43"/>
    </row>
    <row r="977">
      <c r="A977" s="23"/>
      <c r="F977" s="43"/>
      <c r="G977" s="43"/>
      <c r="H977" s="43"/>
    </row>
    <row r="978">
      <c r="A978" s="23"/>
      <c r="F978" s="43"/>
      <c r="G978" s="43"/>
      <c r="H978" s="43"/>
    </row>
    <row r="979">
      <c r="A979" s="23"/>
      <c r="F979" s="43"/>
      <c r="G979" s="43"/>
      <c r="H979" s="43"/>
    </row>
    <row r="980">
      <c r="A980" s="23"/>
      <c r="F980" s="43"/>
      <c r="G980" s="43"/>
      <c r="H980" s="43"/>
    </row>
    <row r="981">
      <c r="A981" s="23"/>
      <c r="F981" s="43"/>
      <c r="G981" s="43"/>
      <c r="H981" s="43"/>
    </row>
    <row r="982">
      <c r="A982" s="23"/>
      <c r="F982" s="43"/>
      <c r="G982" s="43"/>
      <c r="H982" s="43"/>
    </row>
    <row r="983">
      <c r="A983" s="23"/>
      <c r="F983" s="43"/>
      <c r="G983" s="43"/>
      <c r="H983" s="43"/>
    </row>
    <row r="984">
      <c r="A984" s="23"/>
      <c r="F984" s="43"/>
      <c r="G984" s="43"/>
      <c r="H984" s="43"/>
    </row>
    <row r="985">
      <c r="A985" s="23"/>
      <c r="F985" s="43"/>
      <c r="G985" s="43"/>
      <c r="H985" s="43"/>
    </row>
    <row r="986">
      <c r="A986" s="23"/>
      <c r="F986" s="43"/>
      <c r="G986" s="43"/>
      <c r="H986" s="43"/>
    </row>
    <row r="987">
      <c r="A987" s="23"/>
      <c r="F987" s="43"/>
      <c r="G987" s="43"/>
      <c r="H987" s="43"/>
    </row>
    <row r="988">
      <c r="A988" s="23"/>
      <c r="F988" s="43"/>
      <c r="G988" s="43"/>
      <c r="H988" s="43"/>
    </row>
    <row r="989">
      <c r="A989" s="23"/>
      <c r="F989" s="43"/>
      <c r="G989" s="43"/>
      <c r="H989" s="43"/>
    </row>
    <row r="990">
      <c r="A990" s="23"/>
      <c r="F990" s="43"/>
      <c r="G990" s="43"/>
      <c r="H990" s="43"/>
    </row>
    <row r="991">
      <c r="A991" s="23"/>
      <c r="F991" s="43"/>
      <c r="G991" s="43"/>
      <c r="H991" s="43"/>
    </row>
    <row r="992">
      <c r="A992" s="23"/>
      <c r="F992" s="43"/>
      <c r="G992" s="43"/>
      <c r="H992" s="43"/>
    </row>
    <row r="993">
      <c r="A993" s="23"/>
      <c r="F993" s="43"/>
      <c r="G993" s="43"/>
      <c r="H993" s="43"/>
    </row>
    <row r="994">
      <c r="A994" s="23"/>
      <c r="F994" s="43"/>
      <c r="G994" s="43"/>
      <c r="H994" s="43"/>
    </row>
    <row r="995">
      <c r="A995" s="23"/>
      <c r="F995" s="43"/>
      <c r="G995" s="43"/>
      <c r="H995" s="43"/>
    </row>
    <row r="996">
      <c r="A996" s="23"/>
      <c r="F996" s="43"/>
      <c r="G996" s="43"/>
      <c r="H996" s="43"/>
    </row>
    <row r="997">
      <c r="A997" s="23"/>
      <c r="F997" s="43"/>
      <c r="G997" s="43"/>
      <c r="H997" s="43"/>
    </row>
    <row r="998">
      <c r="A998" s="23"/>
      <c r="F998" s="43"/>
      <c r="G998" s="43"/>
      <c r="H998" s="43"/>
    </row>
    <row r="999">
      <c r="A999" s="23"/>
      <c r="F999" s="43"/>
      <c r="G999" s="43"/>
      <c r="H999" s="43"/>
    </row>
    <row r="1000">
      <c r="A1000" s="23"/>
      <c r="F1000" s="43"/>
      <c r="G1000" s="43"/>
      <c r="H1000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5" max="5" width="24.63"/>
  </cols>
  <sheetData>
    <row r="1">
      <c r="A1" s="1" t="s">
        <v>0</v>
      </c>
      <c r="B1" s="35" t="s">
        <v>26</v>
      </c>
      <c r="C1" s="36" t="s">
        <v>15</v>
      </c>
      <c r="E1" s="25"/>
      <c r="F1" s="35" t="s">
        <v>9</v>
      </c>
      <c r="G1" s="36" t="s">
        <v>15</v>
      </c>
    </row>
    <row r="2">
      <c r="A2" s="7">
        <v>46091.0</v>
      </c>
      <c r="B2" s="43">
        <f>VLOOKUP(A2,'Return prepared data'!A:L,6,0)</f>
        <v>0.004994173464</v>
      </c>
      <c r="C2" s="43">
        <f>VLOOKUP(A2,'Return prepared data'!A:L,7,0)</f>
        <v>0.006273122085</v>
      </c>
      <c r="D2" s="42"/>
      <c r="E2" s="25" t="s">
        <v>27</v>
      </c>
      <c r="F2" s="44">
        <f t="shared" ref="F2:G2" si="1">MAX(B:B)</f>
        <v>0.09558471411</v>
      </c>
      <c r="G2" s="44">
        <f t="shared" si="1"/>
        <v>0.1154544354</v>
      </c>
    </row>
    <row r="3">
      <c r="A3" s="13">
        <v>46090.0</v>
      </c>
      <c r="B3" s="43">
        <f>VLOOKUP(A3,'Return prepared data'!A:L,6,0)</f>
        <v>-0.005381240169</v>
      </c>
      <c r="C3" s="43">
        <f>VLOOKUP(A3,'Return prepared data'!A:L,7,0)</f>
        <v>0.00436187399</v>
      </c>
      <c r="E3" s="25" t="s">
        <v>28</v>
      </c>
      <c r="F3" s="43">
        <f t="shared" ref="F3:G3" si="2">MIN(B:B)</f>
        <v>-0.07648067803</v>
      </c>
      <c r="G3" s="43">
        <f t="shared" si="2"/>
        <v>-0.08141011278</v>
      </c>
    </row>
    <row r="4">
      <c r="A4" s="7">
        <v>46083.0</v>
      </c>
      <c r="B4" s="43">
        <f>VLOOKUP(A4,'Return prepared data'!A:L,6,0)</f>
        <v>0.06151682925</v>
      </c>
      <c r="C4" s="43">
        <f>VLOOKUP(A4,'Return prepared data'!A:L,7,0)</f>
        <v>-0.03243454474</v>
      </c>
      <c r="E4" s="25" t="s">
        <v>29</v>
      </c>
      <c r="F4" s="44">
        <f t="shared" ref="F4:G4" si="3">F2-F3</f>
        <v>0.1720653921</v>
      </c>
      <c r="G4" s="44">
        <f t="shared" si="3"/>
        <v>0.1968645482</v>
      </c>
    </row>
    <row r="5">
      <c r="A5" s="13">
        <v>46076.0</v>
      </c>
      <c r="B5" s="43">
        <f>VLOOKUP(A5,'Return prepared data'!A:L,6,0)</f>
        <v>-0.02485217242</v>
      </c>
      <c r="C5" s="43">
        <f>VLOOKUP(A5,'Return prepared data'!A:L,7,0)</f>
        <v>0.04032848199</v>
      </c>
      <c r="E5" s="25"/>
    </row>
    <row r="6">
      <c r="A6" s="7">
        <v>46069.0</v>
      </c>
      <c r="B6" s="43">
        <f>VLOOKUP(A6,'Return prepared data'!A:L,6,0)</f>
        <v>0.01832620648</v>
      </c>
      <c r="C6" s="43">
        <f>VLOOKUP(A6,'Return prepared data'!A:L,7,0)</f>
        <v>-0.08141011278</v>
      </c>
      <c r="E6" s="25" t="s">
        <v>30</v>
      </c>
      <c r="F6" s="43">
        <f t="shared" ref="F6:G6" si="4">_xlfn.PERCENTILE.INC(B1:B54,0.75)</f>
        <v>0.02498500899</v>
      </c>
      <c r="G6" s="43">
        <f t="shared" si="4"/>
        <v>0.02470809008</v>
      </c>
    </row>
    <row r="7">
      <c r="A7" s="13">
        <v>46062.0</v>
      </c>
      <c r="B7" s="43">
        <f>VLOOKUP(A7,'Return prepared data'!A:L,6,0)</f>
        <v>0.001748404581</v>
      </c>
      <c r="C7" s="43">
        <f>VLOOKUP(A7,'Return prepared data'!A:L,7,0)</f>
        <v>0.02065863699</v>
      </c>
      <c r="E7" s="25" t="s">
        <v>31</v>
      </c>
      <c r="F7" s="43">
        <f t="shared" ref="F7:G7" si="5">_xlfn.PERCENTILE.INC(B1:B54,0.25)</f>
        <v>-0.020352473</v>
      </c>
      <c r="G7" s="43">
        <f t="shared" si="5"/>
        <v>-0.01451027811</v>
      </c>
    </row>
    <row r="8">
      <c r="A8" s="7">
        <v>46055.0</v>
      </c>
      <c r="B8" s="43">
        <f>VLOOKUP(A8,'Return prepared data'!A:L,6,0)</f>
        <v>0.09558471411</v>
      </c>
      <c r="C8" s="43">
        <f>VLOOKUP(A8,'Return prepared data'!A:L,7,0)</f>
        <v>0.1010575793</v>
      </c>
      <c r="E8" s="25" t="s">
        <v>32</v>
      </c>
      <c r="F8" s="43">
        <f t="shared" ref="F8:G8" si="6">F6-F7</f>
        <v>0.04533748199</v>
      </c>
      <c r="G8" s="43">
        <f t="shared" si="6"/>
        <v>0.03921836819</v>
      </c>
    </row>
    <row r="9">
      <c r="A9" s="13">
        <v>46048.0</v>
      </c>
      <c r="B9" s="43">
        <f>VLOOKUP(A9,'Return prepared data'!A:L,6,0)</f>
        <v>-0.02429679469</v>
      </c>
      <c r="C9" s="43">
        <f>VLOOKUP(A9,'Return prepared data'!A:L,7,0)</f>
        <v>0.01197655653</v>
      </c>
      <c r="E9" s="25"/>
    </row>
    <row r="10">
      <c r="A10" s="7">
        <v>46041.0</v>
      </c>
      <c r="B10" s="43">
        <f>VLOOKUP(A10,'Return prepared data'!A:L,6,0)</f>
        <v>-0.02859477124</v>
      </c>
      <c r="C10" s="43">
        <f>VLOOKUP(A10,'Return prepared data'!A:L,7,0)</f>
        <v>-0.01645781119</v>
      </c>
      <c r="E10" s="45" t="s">
        <v>33</v>
      </c>
      <c r="F10" s="43">
        <f t="shared" ref="F10:G10" si="7">AVERAGE(B:B)</f>
        <v>0.00410361447</v>
      </c>
      <c r="G10" s="43">
        <f t="shared" si="7"/>
        <v>0.007985952577</v>
      </c>
    </row>
    <row r="11">
      <c r="A11" s="13">
        <v>46034.0</v>
      </c>
      <c r="B11" s="43">
        <f>VLOOKUP(A11,'Return prepared data'!A:L,6,0)</f>
        <v>0.05456634118</v>
      </c>
      <c r="C11" s="43">
        <f>VLOOKUP(A11,'Return prepared data'!A:L,7,0)</f>
        <v>0.04514101109</v>
      </c>
      <c r="E11" s="45" t="s">
        <v>34</v>
      </c>
      <c r="F11" s="43">
        <f t="shared" ref="F11:G11" si="8">AVEDEV(B1:B54)*52/51</f>
        <v>0.02751549354</v>
      </c>
      <c r="G11" s="43">
        <f t="shared" si="8"/>
        <v>0.02514968538</v>
      </c>
    </row>
    <row r="12">
      <c r="A12" s="7">
        <v>46027.0</v>
      </c>
      <c r="B12" s="43">
        <f>VLOOKUP(A12,'Return prepared data'!A:L,6,0)</f>
        <v>0.04984924623</v>
      </c>
      <c r="C12" s="43">
        <f>VLOOKUP(A12,'Return prepared data'!A:L,7,0)</f>
        <v>0.01569705569</v>
      </c>
      <c r="E12" s="45" t="s">
        <v>35</v>
      </c>
      <c r="F12" s="43">
        <f t="shared" ref="F12:G12" si="9">_xlfn.VAR.S(B:B)</f>
        <v>0.00115695903</v>
      </c>
      <c r="G12" s="43">
        <f t="shared" si="9"/>
        <v>0.001165036385</v>
      </c>
    </row>
    <row r="13">
      <c r="A13" s="13">
        <v>46020.0</v>
      </c>
      <c r="B13" s="43">
        <f>VLOOKUP(A13,'Return prepared data'!A:L,6,0)</f>
        <v>0.009639776763</v>
      </c>
      <c r="C13" s="43">
        <f>VLOOKUP(A13,'Return prepared data'!A:L,7,0)</f>
        <v>0.009128333632</v>
      </c>
      <c r="E13" s="45" t="s">
        <v>36</v>
      </c>
      <c r="F13" s="43">
        <f t="shared" ref="F13:G13" si="10">_xlfn.STDEV.S(B:B)</f>
        <v>0.03401410046</v>
      </c>
      <c r="G13" s="43">
        <f t="shared" si="10"/>
        <v>0.03413262933</v>
      </c>
    </row>
    <row r="14">
      <c r="A14" s="7">
        <v>46013.0</v>
      </c>
      <c r="B14" s="43">
        <f>VLOOKUP(A14,'Return prepared data'!A:L,6,0)</f>
        <v>0.01576994434</v>
      </c>
      <c r="C14" s="43">
        <f>VLOOKUP(A14,'Return prepared data'!A:L,7,0)</f>
        <v>-0.02291010843</v>
      </c>
      <c r="E14" s="25"/>
    </row>
    <row r="15">
      <c r="A15" s="13">
        <v>46006.0</v>
      </c>
      <c r="B15" s="43">
        <f>VLOOKUP(A15,'Return prepared data'!A:L,6,0)</f>
        <v>0.009468317553</v>
      </c>
      <c r="C15" s="43">
        <f>VLOOKUP(A15,'Return prepared data'!A:L,7,0)</f>
        <v>-0.0180319423</v>
      </c>
      <c r="E15" s="25"/>
    </row>
    <row r="16">
      <c r="A16" s="7">
        <v>45999.0</v>
      </c>
      <c r="B16" s="43">
        <f>VLOOKUP(A16,'Return prepared data'!A:L,6,0)</f>
        <v>0.05314486084</v>
      </c>
      <c r="C16" s="43">
        <f>VLOOKUP(A16,'Return prepared data'!A:L,7,0)</f>
        <v>0.01375348189</v>
      </c>
      <c r="E16" s="25"/>
    </row>
    <row r="17">
      <c r="A17" s="13">
        <v>45992.0</v>
      </c>
      <c r="B17" s="43">
        <f>VLOOKUP(A17,'Return prepared data'!A:L,6,0)</f>
        <v>0.01727789544</v>
      </c>
      <c r="C17" s="43">
        <f>VLOOKUP(A17,'Return prepared data'!A:L,7,0)</f>
        <v>0.04161755372</v>
      </c>
    </row>
    <row r="18">
      <c r="A18" s="7">
        <v>45985.0</v>
      </c>
      <c r="B18" s="43">
        <f>VLOOKUP(A18,'Return prepared data'!A:L,6,0)</f>
        <v>0.03424025824</v>
      </c>
      <c r="C18" s="43">
        <f>VLOOKUP(A18,'Return prepared data'!A:L,7,0)</f>
        <v>0.04928170488</v>
      </c>
    </row>
    <row r="19">
      <c r="A19" s="13">
        <v>45978.0</v>
      </c>
      <c r="B19" s="43">
        <f>VLOOKUP(A19,'Return prepared data'!A:L,6,0)</f>
        <v>-0.01308453749</v>
      </c>
      <c r="C19" s="43">
        <f>VLOOKUP(A19,'Return prepared data'!A:L,7,0)</f>
        <v>0.02776962941</v>
      </c>
    </row>
    <row r="20">
      <c r="A20" s="7">
        <v>45971.0</v>
      </c>
      <c r="B20" s="43">
        <f>VLOOKUP(A20,'Return prepared data'!A:L,6,0)</f>
        <v>-0.01468609865</v>
      </c>
      <c r="C20" s="43">
        <f>VLOOKUP(A20,'Return prepared data'!A:L,7,0)</f>
        <v>-0.001074428599</v>
      </c>
    </row>
    <row r="21">
      <c r="A21" s="13">
        <v>45964.0</v>
      </c>
      <c r="B21" s="43">
        <f>VLOOKUP(A21,'Return prepared data'!A:L,6,0)</f>
        <v>-0.0158870256</v>
      </c>
      <c r="C21" s="43">
        <f>VLOOKUP(A21,'Return prepared data'!A:L,7,0)</f>
        <v>0.01396454392</v>
      </c>
    </row>
    <row r="22">
      <c r="A22" s="7">
        <v>45957.0</v>
      </c>
      <c r="B22" s="43">
        <f>VLOOKUP(A22,'Return prepared data'!A:L,6,0)</f>
        <v>-0.01638632664</v>
      </c>
      <c r="C22" s="43">
        <f>VLOOKUP(A22,'Return prepared data'!A:L,7,0)</f>
        <v>-0.04700330345</v>
      </c>
    </row>
    <row r="23">
      <c r="A23" s="13">
        <v>45950.0</v>
      </c>
      <c r="B23" s="43">
        <f>VLOOKUP(A23,'Return prepared data'!A:L,6,0)</f>
        <v>0.03760837743</v>
      </c>
      <c r="C23" s="43">
        <f>VLOOKUP(A23,'Return prepared data'!A:L,7,0)</f>
        <v>-0.01451027811</v>
      </c>
    </row>
    <row r="24">
      <c r="A24" s="7">
        <v>45943.0</v>
      </c>
      <c r="B24" s="43">
        <f>VLOOKUP(A24,'Return prepared data'!A:L,6,0)</f>
        <v>0.06219351752</v>
      </c>
      <c r="C24" s="43">
        <f>VLOOKUP(A24,'Return prepared data'!A:L,7,0)</f>
        <v>0.05785693201</v>
      </c>
    </row>
    <row r="25">
      <c r="A25" s="13">
        <v>45936.0</v>
      </c>
      <c r="B25" s="43">
        <f>VLOOKUP(A25,'Return prepared data'!A:L,6,0)</f>
        <v>-0.03940716912</v>
      </c>
      <c r="C25" s="43">
        <f>VLOOKUP(A25,'Return prepared data'!A:L,7,0)</f>
        <v>-0.002258001178</v>
      </c>
    </row>
    <row r="26">
      <c r="A26" s="7">
        <v>45929.0</v>
      </c>
      <c r="B26" s="43">
        <f>VLOOKUP(A26,'Return prepared data'!A:L,6,0)</f>
        <v>0.01350721938</v>
      </c>
      <c r="C26" s="43">
        <f>VLOOKUP(A26,'Return prepared data'!A:L,7,0)</f>
        <v>-0.01058766391</v>
      </c>
    </row>
    <row r="27">
      <c r="A27" s="13">
        <v>45922.0</v>
      </c>
      <c r="B27" s="43">
        <f>VLOOKUP(A27,'Return prepared data'!A:L,6,0)</f>
        <v>-0.003249767874</v>
      </c>
      <c r="C27" s="43">
        <f>VLOOKUP(A27,'Return prepared data'!A:L,7,0)</f>
        <v>0.00812769291</v>
      </c>
    </row>
    <row r="28">
      <c r="A28" s="7">
        <v>45915.0</v>
      </c>
      <c r="B28" s="43">
        <f>VLOOKUP(A28,'Return prepared data'!A:L,6,0)</f>
        <v>-0.020352473</v>
      </c>
      <c r="C28" s="43">
        <f>VLOOKUP(A28,'Return prepared data'!A:L,7,0)</f>
        <v>-0.01123160341</v>
      </c>
    </row>
    <row r="29">
      <c r="A29" s="13">
        <v>45908.0</v>
      </c>
      <c r="B29" s="43">
        <f>VLOOKUP(A29,'Return prepared data'!A:L,6,0)</f>
        <v>-0.03436539306</v>
      </c>
      <c r="C29" s="43">
        <f>VLOOKUP(A29,'Return prepared data'!A:L,7,0)</f>
        <v>0.02960821453</v>
      </c>
    </row>
    <row r="30">
      <c r="A30" s="7">
        <v>45901.0</v>
      </c>
      <c r="B30" s="43">
        <f>VLOOKUP(A30,'Return prepared data'!A:L,6,0)</f>
        <v>-0.02930832356</v>
      </c>
      <c r="C30" s="43">
        <f>VLOOKUP(A30,'Return prepared data'!A:L,7,0)</f>
        <v>0.0364744782</v>
      </c>
    </row>
    <row r="31">
      <c r="A31" s="13">
        <v>45894.0</v>
      </c>
      <c r="B31" s="43">
        <f>VLOOKUP(A31,'Return prepared data'!A:L,6,0)</f>
        <v>-0.03287981859</v>
      </c>
      <c r="C31" s="43">
        <f>VLOOKUP(A31,'Return prepared data'!A:L,7,0)</f>
        <v>0.001552312946</v>
      </c>
    </row>
    <row r="32">
      <c r="A32" s="7">
        <v>45887.0</v>
      </c>
      <c r="B32" s="43">
        <f>VLOOKUP(A32,'Return prepared data'!A:L,6,0)</f>
        <v>-0.02619692864</v>
      </c>
      <c r="C32" s="43">
        <f>VLOOKUP(A32,'Return prepared data'!A:L,7,0)</f>
        <v>-0.02942948975</v>
      </c>
    </row>
    <row r="33">
      <c r="A33" s="13">
        <v>45880.0</v>
      </c>
      <c r="B33" s="43">
        <f>VLOOKUP(A33,'Return prepared data'!A:L,6,0)</f>
        <v>-0.02256450505</v>
      </c>
      <c r="C33" s="43">
        <f>VLOOKUP(A33,'Return prepared data'!A:L,7,0)</f>
        <v>-0.03601859024</v>
      </c>
    </row>
    <row r="34">
      <c r="A34" s="7">
        <v>45873.0</v>
      </c>
      <c r="B34" s="43">
        <f>VLOOKUP(A34,'Return prepared data'!A:L,6,0)</f>
        <v>0.05637889937</v>
      </c>
      <c r="C34" s="43">
        <f>VLOOKUP(A34,'Return prepared data'!A:L,7,0)</f>
        <v>0.05323271466</v>
      </c>
    </row>
    <row r="35">
      <c r="A35" s="13">
        <v>45866.0</v>
      </c>
      <c r="B35" s="43">
        <f>VLOOKUP(A35,'Return prepared data'!A:L,6,0)</f>
        <v>-0.05918486739</v>
      </c>
      <c r="C35" s="43">
        <f>VLOOKUP(A35,'Return prepared data'!A:L,7,0)</f>
        <v>0.0104070067</v>
      </c>
    </row>
    <row r="36">
      <c r="A36" s="7">
        <v>45859.0</v>
      </c>
      <c r="B36" s="43">
        <f>VLOOKUP(A36,'Return prepared data'!A:L,6,0)</f>
        <v>0.02498500899</v>
      </c>
      <c r="C36" s="43">
        <f>VLOOKUP(A36,'Return prepared data'!A:L,7,0)</f>
        <v>0.0254649197</v>
      </c>
    </row>
    <row r="37">
      <c r="A37" s="13">
        <v>45852.0</v>
      </c>
      <c r="B37" s="43">
        <f>VLOOKUP(A37,'Return prepared data'!A:L,6,0)</f>
        <v>-0.007439738121</v>
      </c>
      <c r="C37" s="43">
        <f>VLOOKUP(A37,'Return prepared data'!A:L,7,0)</f>
        <v>0.006915629322</v>
      </c>
    </row>
    <row r="38">
      <c r="A38" s="7">
        <v>45845.0</v>
      </c>
      <c r="B38" s="43">
        <f>VLOOKUP(A38,'Return prepared data'!A:L,6,0)</f>
        <v>0.001689189189</v>
      </c>
      <c r="C38" s="43">
        <f>VLOOKUP(A38,'Return prepared data'!A:L,7,0)</f>
        <v>-0.04023281936</v>
      </c>
    </row>
    <row r="39">
      <c r="A39" s="13">
        <v>45838.0</v>
      </c>
      <c r="B39" s="43">
        <f>VLOOKUP(A39,'Return prepared data'!A:L,6,0)</f>
        <v>0.04866103991</v>
      </c>
      <c r="C39" s="43">
        <f>VLOOKUP(A39,'Return prepared data'!A:L,7,0)</f>
        <v>0.01115126484</v>
      </c>
    </row>
    <row r="40">
      <c r="A40" s="7">
        <v>45831.0</v>
      </c>
      <c r="B40" s="43">
        <f>VLOOKUP(A40,'Return prepared data'!A:L,6,0)</f>
        <v>0.03863636364</v>
      </c>
      <c r="C40" s="43">
        <f>VLOOKUP(A40,'Return prepared data'!A:L,7,0)</f>
        <v>0.01201671891</v>
      </c>
    </row>
    <row r="41">
      <c r="A41" s="13">
        <v>45824.0</v>
      </c>
      <c r="B41" s="43">
        <f>VLOOKUP(A41,'Return prepared data'!A:L,6,0)</f>
        <v>0.001843218042</v>
      </c>
      <c r="C41" s="43">
        <f>VLOOKUP(A41,'Return prepared data'!A:L,7,0)</f>
        <v>0.01776028927</v>
      </c>
    </row>
    <row r="42">
      <c r="A42" s="7">
        <v>45817.0</v>
      </c>
      <c r="B42" s="43">
        <f>VLOOKUP(A42,'Return prepared data'!A:L,6,0)</f>
        <v>-0.02008074798</v>
      </c>
      <c r="C42" s="43">
        <f>VLOOKUP(A42,'Return prepared data'!A:L,7,0)</f>
        <v>-0.03111798042</v>
      </c>
    </row>
    <row r="43">
      <c r="A43" s="13">
        <v>45810.0</v>
      </c>
      <c r="B43" s="43">
        <f>VLOOKUP(A43,'Return prepared data'!A:L,6,0)</f>
        <v>0.03519577651</v>
      </c>
      <c r="C43" s="43">
        <f>VLOOKUP(A43,'Return prepared data'!A:L,7,0)</f>
        <v>-0.01261572897</v>
      </c>
    </row>
    <row r="44">
      <c r="A44" s="7">
        <v>45803.0</v>
      </c>
      <c r="B44" s="43">
        <f>VLOOKUP(A44,'Return prepared data'!A:L,6,0)</f>
        <v>-0.002960850971</v>
      </c>
      <c r="C44" s="43">
        <f>VLOOKUP(A44,'Return prepared data'!A:L,7,0)</f>
        <v>0.02470809008</v>
      </c>
    </row>
    <row r="45">
      <c r="A45" s="13">
        <v>45796.0</v>
      </c>
      <c r="B45" s="43">
        <f>VLOOKUP(A45,'Return prepared data'!A:L,6,0)</f>
        <v>-0.03256948865</v>
      </c>
      <c r="C45" s="43">
        <f>VLOOKUP(A45,'Return prepared data'!A:L,7,0)</f>
        <v>-0.01932317759</v>
      </c>
    </row>
    <row r="46">
      <c r="A46" s="7">
        <v>45789.0</v>
      </c>
      <c r="B46" s="43">
        <f>VLOOKUP(A46,'Return prepared data'!A:L,6,0)</f>
        <v>0.02256454762</v>
      </c>
      <c r="C46" s="43">
        <f>VLOOKUP(A46,'Return prepared data'!A:L,7,0)</f>
        <v>0.01811179348</v>
      </c>
    </row>
    <row r="47">
      <c r="A47" s="13">
        <v>45782.0</v>
      </c>
      <c r="B47" s="43">
        <f>VLOOKUP(A47,'Return prepared data'!A:L,6,0)</f>
        <v>-0.009881847476</v>
      </c>
      <c r="C47" s="43">
        <f>VLOOKUP(A47,'Return prepared data'!A:L,7,0)</f>
        <v>-0.02049347471</v>
      </c>
    </row>
    <row r="48">
      <c r="A48" s="20">
        <v>45775.0</v>
      </c>
      <c r="B48" s="43">
        <f>VLOOKUP(A48,'Return prepared data'!A:L,6,0)</f>
        <v>0.008121277748</v>
      </c>
      <c r="C48" s="43">
        <f>VLOOKUP(A48,'Return prepared data'!A:L,7,0)</f>
        <v>0.03843303335</v>
      </c>
    </row>
    <row r="49">
      <c r="A49" s="13">
        <v>45768.0</v>
      </c>
      <c r="B49" s="43">
        <f>VLOOKUP(A49,'Return prepared data'!A:L,6,0)</f>
        <v>0.03729080085</v>
      </c>
      <c r="C49" s="43">
        <f>VLOOKUP(A49,'Return prepared data'!A:L,7,0)</f>
        <v>0.02008856248</v>
      </c>
    </row>
    <row r="50">
      <c r="A50" s="7">
        <v>45761.0</v>
      </c>
      <c r="B50" s="43">
        <f>VLOOKUP(A50,'Return prepared data'!A:L,6,0)</f>
        <v>0.003494138864</v>
      </c>
      <c r="C50" s="43">
        <f>VLOOKUP(A50,'Return prepared data'!A:L,7,0)</f>
        <v>0.004556797223</v>
      </c>
    </row>
    <row r="51">
      <c r="A51" s="13">
        <v>45754.0</v>
      </c>
      <c r="B51" s="43">
        <f>VLOOKUP(A51,'Return prepared data'!A:L,6,0)</f>
        <v>-0.03070031684</v>
      </c>
      <c r="C51" s="43">
        <f>VLOOKUP(A51,'Return prepared data'!A:L,7,0)</f>
        <v>0.1154544354</v>
      </c>
    </row>
    <row r="52">
      <c r="A52" s="7">
        <v>45747.0</v>
      </c>
      <c r="B52" s="43">
        <f>VLOOKUP(A52,'Return prepared data'!A:L,6,0)</f>
        <v>-0.07648067803</v>
      </c>
      <c r="C52" s="43">
        <f>VLOOKUP(A52,'Return prepared data'!A:L,7,0)</f>
        <v>-0.02293957668</v>
      </c>
    </row>
    <row r="53">
      <c r="A53" s="13">
        <v>45740.0</v>
      </c>
      <c r="B53" s="43">
        <f>VLOOKUP(A53,'Return prepared data'!A:L,6,0)</f>
        <v>-0.00391959799</v>
      </c>
      <c r="C53" s="43">
        <f>VLOOKUP(A53,'Return prepared data'!A:L,7,0)</f>
        <v>-0.006928135275</v>
      </c>
    </row>
    <row r="54">
      <c r="A54" s="7">
        <v>45733.0</v>
      </c>
      <c r="B54" s="43">
        <f>VLOOKUP(A54,'Return prepared data'!A:L,6,0)</f>
        <v>-0.006093297373</v>
      </c>
      <c r="C54" s="43">
        <f>VLOOKUP(A54,'Return prepared data'!A:L,7,0)</f>
        <v>0.007333806482</v>
      </c>
    </row>
    <row r="55">
      <c r="A55" s="13">
        <v>45726.0</v>
      </c>
      <c r="B55" s="43" t="str">
        <f>VLOOKUP(A55,'Return prepared data'!A:L,6,0)</f>
        <v/>
      </c>
      <c r="C55" s="43"/>
    </row>
    <row r="56">
      <c r="A56" s="23"/>
      <c r="B56" s="43"/>
      <c r="C56" s="43"/>
    </row>
    <row r="57">
      <c r="A57" s="23"/>
      <c r="B57" s="43"/>
      <c r="C57" s="43"/>
    </row>
    <row r="58">
      <c r="A58" s="26"/>
      <c r="B58" s="43"/>
      <c r="C58" s="43"/>
    </row>
    <row r="59">
      <c r="A59" s="28"/>
      <c r="B59" s="43"/>
      <c r="C59" s="43"/>
    </row>
    <row r="60">
      <c r="A60" s="30"/>
      <c r="B60" s="43"/>
      <c r="C60" s="43"/>
    </row>
    <row r="61">
      <c r="A61" s="32"/>
      <c r="B61" s="43"/>
      <c r="C61" s="43"/>
    </row>
    <row r="62">
      <c r="A62" s="23"/>
      <c r="B62" s="43"/>
      <c r="C62" s="43"/>
    </row>
    <row r="63">
      <c r="A63" s="23"/>
      <c r="B63" s="43"/>
      <c r="C63" s="43"/>
    </row>
    <row r="64">
      <c r="A64" s="23"/>
      <c r="B64" s="43"/>
      <c r="C64" s="43"/>
    </row>
    <row r="65">
      <c r="A65" s="23"/>
      <c r="B65" s="43"/>
      <c r="C65" s="43"/>
    </row>
    <row r="66">
      <c r="A66" s="1"/>
      <c r="B66" s="43"/>
      <c r="C66" s="43"/>
    </row>
    <row r="67">
      <c r="A67" s="23"/>
      <c r="B67" s="43"/>
      <c r="C67" s="43"/>
    </row>
    <row r="68">
      <c r="A68" s="23"/>
      <c r="B68" s="43"/>
      <c r="C68" s="43"/>
    </row>
    <row r="69">
      <c r="A69" s="23"/>
      <c r="B69" s="43"/>
      <c r="C69" s="43"/>
    </row>
    <row r="70">
      <c r="A70" s="23"/>
      <c r="B70" s="43"/>
      <c r="C70" s="43"/>
    </row>
    <row r="71">
      <c r="A71" s="23"/>
      <c r="B71" s="43"/>
      <c r="C71" s="43"/>
    </row>
    <row r="72">
      <c r="A72" s="23"/>
      <c r="B72" s="43"/>
      <c r="C72" s="43"/>
    </row>
    <row r="73">
      <c r="A73" s="23"/>
      <c r="B73" s="43"/>
      <c r="C73" s="43"/>
    </row>
    <row r="74">
      <c r="A74" s="23"/>
      <c r="B74" s="43"/>
      <c r="C74" s="43"/>
    </row>
    <row r="75">
      <c r="A75" s="23"/>
      <c r="B75" s="43"/>
      <c r="C75" s="43"/>
    </row>
    <row r="76">
      <c r="A76" s="23"/>
      <c r="B76" s="43"/>
      <c r="C76" s="43"/>
    </row>
    <row r="77">
      <c r="A77" s="23"/>
      <c r="B77" s="43"/>
      <c r="C77" s="43"/>
    </row>
    <row r="78">
      <c r="A78" s="23"/>
      <c r="B78" s="43"/>
      <c r="C78" s="43"/>
    </row>
    <row r="79">
      <c r="A79" s="23"/>
      <c r="B79" s="43"/>
      <c r="C79" s="43"/>
    </row>
    <row r="80">
      <c r="A80" s="23"/>
      <c r="B80" s="43"/>
      <c r="C80" s="43"/>
    </row>
    <row r="81">
      <c r="A81" s="23"/>
      <c r="B81" s="43"/>
      <c r="C81" s="43"/>
    </row>
    <row r="82">
      <c r="A82" s="23"/>
      <c r="B82" s="43"/>
      <c r="C82" s="43"/>
    </row>
    <row r="83">
      <c r="A83" s="23"/>
      <c r="B83" s="43"/>
      <c r="C83" s="43"/>
    </row>
    <row r="84">
      <c r="A84" s="23"/>
      <c r="B84" s="43"/>
      <c r="C84" s="43"/>
    </row>
    <row r="85">
      <c r="A85" s="23"/>
      <c r="B85" s="43"/>
      <c r="C85" s="43"/>
    </row>
    <row r="86">
      <c r="A86" s="23"/>
      <c r="B86" s="43"/>
      <c r="C86" s="43"/>
    </row>
    <row r="87">
      <c r="A87" s="23"/>
      <c r="B87" s="43"/>
      <c r="C87" s="43"/>
    </row>
    <row r="88">
      <c r="A88" s="23"/>
      <c r="B88" s="43"/>
      <c r="C88" s="43"/>
    </row>
    <row r="89">
      <c r="A89" s="23"/>
      <c r="B89" s="43"/>
      <c r="C89" s="43"/>
    </row>
    <row r="90">
      <c r="A90" s="23"/>
      <c r="B90" s="43"/>
      <c r="C90" s="43"/>
    </row>
    <row r="91">
      <c r="A91" s="23"/>
      <c r="B91" s="43"/>
      <c r="C91" s="43"/>
    </row>
    <row r="92">
      <c r="A92" s="23"/>
      <c r="B92" s="43"/>
      <c r="C92" s="43"/>
    </row>
    <row r="93">
      <c r="A93" s="23"/>
      <c r="B93" s="43"/>
      <c r="C93" s="43"/>
    </row>
    <row r="94">
      <c r="A94" s="23"/>
      <c r="B94" s="43"/>
      <c r="C94" s="43"/>
    </row>
    <row r="95">
      <c r="A95" s="23"/>
      <c r="B95" s="43"/>
      <c r="C95" s="43"/>
    </row>
    <row r="96">
      <c r="A96" s="23"/>
      <c r="B96" s="43"/>
      <c r="C96" s="43"/>
    </row>
    <row r="97">
      <c r="A97" s="23"/>
      <c r="B97" s="43"/>
      <c r="C97" s="43"/>
    </row>
    <row r="98">
      <c r="A98" s="23"/>
      <c r="B98" s="43"/>
      <c r="C98" s="43"/>
    </row>
    <row r="99">
      <c r="A99" s="23"/>
      <c r="B99" s="43"/>
      <c r="C99" s="43"/>
    </row>
    <row r="100">
      <c r="A100" s="23"/>
      <c r="B100" s="43"/>
      <c r="C100" s="43"/>
    </row>
    <row r="101">
      <c r="A101" s="23"/>
      <c r="B101" s="43"/>
      <c r="C101" s="43"/>
    </row>
    <row r="102">
      <c r="A102" s="23"/>
      <c r="B102" s="43"/>
      <c r="C102" s="43"/>
    </row>
    <row r="103">
      <c r="A103" s="23"/>
      <c r="B103" s="43"/>
      <c r="C103" s="43"/>
    </row>
    <row r="104">
      <c r="A104" s="23"/>
      <c r="B104" s="43"/>
      <c r="C104" s="43"/>
    </row>
    <row r="105">
      <c r="A105" s="23"/>
      <c r="B105" s="43"/>
      <c r="C105" s="43"/>
    </row>
    <row r="106">
      <c r="A106" s="23"/>
      <c r="B106" s="43"/>
      <c r="C106" s="43"/>
    </row>
    <row r="107">
      <c r="A107" s="23"/>
      <c r="B107" s="43"/>
      <c r="C107" s="43"/>
    </row>
    <row r="108">
      <c r="A108" s="23"/>
      <c r="B108" s="43"/>
      <c r="C108" s="43"/>
    </row>
    <row r="109">
      <c r="A109" s="23"/>
      <c r="B109" s="43"/>
      <c r="C109" s="43"/>
    </row>
    <row r="110">
      <c r="A110" s="23"/>
      <c r="B110" s="43"/>
      <c r="C110" s="43"/>
    </row>
    <row r="111">
      <c r="A111" s="23"/>
      <c r="B111" s="43"/>
      <c r="C111" s="43"/>
    </row>
    <row r="112">
      <c r="A112" s="23"/>
      <c r="B112" s="43"/>
      <c r="C112" s="43"/>
    </row>
    <row r="113">
      <c r="A113" s="23"/>
      <c r="B113" s="43"/>
      <c r="C113" s="43"/>
    </row>
    <row r="114">
      <c r="A114" s="23"/>
      <c r="B114" s="43"/>
      <c r="C114" s="43"/>
    </row>
    <row r="115">
      <c r="A115" s="23"/>
      <c r="B115" s="43"/>
      <c r="C115" s="43"/>
    </row>
    <row r="116">
      <c r="A116" s="23"/>
      <c r="B116" s="43"/>
      <c r="C116" s="43"/>
    </row>
    <row r="117">
      <c r="A117" s="23"/>
      <c r="B117" s="43"/>
      <c r="C117" s="43"/>
    </row>
    <row r="118">
      <c r="A118" s="23"/>
      <c r="B118" s="43"/>
      <c r="C118" s="43"/>
    </row>
    <row r="119">
      <c r="A119" s="23"/>
      <c r="B119" s="43"/>
      <c r="C119" s="43"/>
    </row>
    <row r="120">
      <c r="A120" s="23"/>
      <c r="B120" s="43"/>
      <c r="C120" s="43"/>
    </row>
    <row r="121">
      <c r="A121" s="23"/>
      <c r="B121" s="43"/>
      <c r="C121" s="43"/>
    </row>
    <row r="122">
      <c r="A122" s="23"/>
      <c r="B122" s="43"/>
      <c r="C122" s="43"/>
    </row>
    <row r="123">
      <c r="A123" s="23"/>
      <c r="B123" s="43"/>
      <c r="C123" s="43"/>
    </row>
    <row r="124">
      <c r="A124" s="23"/>
      <c r="B124" s="43"/>
      <c r="C124" s="43"/>
    </row>
    <row r="125">
      <c r="A125" s="23"/>
      <c r="B125" s="43"/>
      <c r="C125" s="43"/>
    </row>
    <row r="126">
      <c r="A126" s="23"/>
      <c r="B126" s="43"/>
      <c r="C126" s="43"/>
    </row>
    <row r="127">
      <c r="A127" s="23"/>
      <c r="B127" s="43"/>
      <c r="C127" s="43"/>
    </row>
    <row r="128">
      <c r="A128" s="23"/>
      <c r="B128" s="43"/>
      <c r="C128" s="43"/>
    </row>
    <row r="129">
      <c r="A129" s="23"/>
      <c r="B129" s="43"/>
      <c r="C129" s="43"/>
    </row>
    <row r="130">
      <c r="A130" s="23"/>
      <c r="B130" s="43"/>
      <c r="C130" s="43"/>
    </row>
    <row r="131">
      <c r="A131" s="23"/>
      <c r="B131" s="43"/>
      <c r="C131" s="43"/>
    </row>
    <row r="132">
      <c r="A132" s="23"/>
      <c r="B132" s="43"/>
      <c r="C132" s="43"/>
    </row>
    <row r="133">
      <c r="A133" s="23"/>
      <c r="B133" s="43"/>
      <c r="C133" s="43"/>
    </row>
    <row r="134">
      <c r="A134" s="23"/>
      <c r="B134" s="43"/>
      <c r="C134" s="43"/>
    </row>
    <row r="135">
      <c r="A135" s="23"/>
      <c r="B135" s="43"/>
      <c r="C135" s="43"/>
    </row>
    <row r="136">
      <c r="A136" s="23"/>
      <c r="B136" s="43"/>
      <c r="C136" s="43"/>
    </row>
    <row r="137">
      <c r="A137" s="23"/>
      <c r="B137" s="43"/>
      <c r="C137" s="43"/>
    </row>
    <row r="138">
      <c r="A138" s="23"/>
      <c r="B138" s="43"/>
      <c r="C138" s="43"/>
    </row>
    <row r="139">
      <c r="A139" s="23"/>
      <c r="B139" s="43"/>
      <c r="C139" s="43"/>
    </row>
    <row r="140">
      <c r="A140" s="23"/>
      <c r="B140" s="43"/>
      <c r="C140" s="43"/>
    </row>
    <row r="141">
      <c r="A141" s="23"/>
      <c r="B141" s="43"/>
      <c r="C141" s="43"/>
    </row>
    <row r="142">
      <c r="A142" s="23"/>
      <c r="B142" s="43"/>
      <c r="C142" s="43"/>
    </row>
    <row r="143">
      <c r="A143" s="23"/>
      <c r="B143" s="43"/>
      <c r="C143" s="43"/>
    </row>
    <row r="144">
      <c r="A144" s="23"/>
      <c r="B144" s="43"/>
      <c r="C144" s="43"/>
    </row>
    <row r="145">
      <c r="A145" s="23"/>
      <c r="B145" s="43"/>
      <c r="C145" s="43"/>
    </row>
    <row r="146">
      <c r="A146" s="23"/>
      <c r="B146" s="43"/>
      <c r="C146" s="43"/>
    </row>
    <row r="147">
      <c r="A147" s="23"/>
      <c r="B147" s="43"/>
      <c r="C147" s="43"/>
    </row>
    <row r="148">
      <c r="A148" s="23"/>
      <c r="B148" s="43"/>
      <c r="C148" s="43"/>
    </row>
    <row r="149">
      <c r="A149" s="23"/>
      <c r="B149" s="43"/>
      <c r="C149" s="43"/>
    </row>
    <row r="150">
      <c r="A150" s="23"/>
      <c r="B150" s="43"/>
      <c r="C150" s="43"/>
    </row>
    <row r="151">
      <c r="A151" s="23"/>
      <c r="B151" s="43"/>
      <c r="C151" s="43"/>
    </row>
    <row r="152">
      <c r="A152" s="23"/>
      <c r="B152" s="43"/>
      <c r="C152" s="43"/>
    </row>
    <row r="153">
      <c r="A153" s="23"/>
      <c r="B153" s="43"/>
      <c r="C153" s="43"/>
    </row>
    <row r="154">
      <c r="A154" s="23"/>
      <c r="B154" s="43"/>
      <c r="C154" s="43"/>
    </row>
    <row r="155">
      <c r="A155" s="23"/>
      <c r="B155" s="43"/>
      <c r="C155" s="43"/>
    </row>
    <row r="156">
      <c r="A156" s="23"/>
      <c r="B156" s="43"/>
      <c r="C156" s="43"/>
    </row>
    <row r="157">
      <c r="A157" s="23"/>
      <c r="B157" s="43"/>
      <c r="C157" s="43"/>
    </row>
    <row r="158">
      <c r="A158" s="23"/>
      <c r="B158" s="43"/>
      <c r="C158" s="43"/>
    </row>
    <row r="159">
      <c r="A159" s="23"/>
      <c r="B159" s="43"/>
      <c r="C159" s="43"/>
    </row>
    <row r="160">
      <c r="A160" s="23"/>
      <c r="B160" s="43"/>
      <c r="C160" s="43"/>
    </row>
    <row r="161">
      <c r="A161" s="23"/>
      <c r="B161" s="43"/>
      <c r="C161" s="43"/>
    </row>
    <row r="162">
      <c r="A162" s="23"/>
      <c r="B162" s="43"/>
      <c r="C162" s="43"/>
    </row>
    <row r="163">
      <c r="A163" s="23"/>
      <c r="B163" s="43"/>
      <c r="C163" s="43"/>
    </row>
    <row r="164">
      <c r="A164" s="23"/>
      <c r="B164" s="43"/>
      <c r="C164" s="43"/>
    </row>
    <row r="165">
      <c r="A165" s="23"/>
      <c r="B165" s="43"/>
      <c r="C165" s="43"/>
    </row>
    <row r="166">
      <c r="A166" s="23"/>
      <c r="B166" s="43"/>
      <c r="C166" s="43"/>
    </row>
    <row r="167">
      <c r="A167" s="23"/>
      <c r="B167" s="43"/>
      <c r="C167" s="43"/>
    </row>
    <row r="168">
      <c r="A168" s="23"/>
      <c r="B168" s="43"/>
      <c r="C168" s="43"/>
    </row>
    <row r="169">
      <c r="A169" s="23"/>
      <c r="B169" s="43"/>
      <c r="C169" s="43"/>
    </row>
    <row r="170">
      <c r="A170" s="23"/>
      <c r="B170" s="43"/>
      <c r="C170" s="43"/>
    </row>
    <row r="171">
      <c r="A171" s="23"/>
      <c r="B171" s="43"/>
      <c r="C171" s="43"/>
    </row>
    <row r="172">
      <c r="A172" s="23"/>
      <c r="B172" s="43"/>
      <c r="C172" s="43"/>
    </row>
    <row r="173">
      <c r="A173" s="23"/>
      <c r="B173" s="43"/>
      <c r="C173" s="43"/>
    </row>
    <row r="174">
      <c r="A174" s="23"/>
      <c r="B174" s="43"/>
      <c r="C174" s="43"/>
    </row>
    <row r="175">
      <c r="A175" s="23"/>
      <c r="B175" s="43"/>
      <c r="C175" s="43"/>
    </row>
    <row r="176">
      <c r="A176" s="23"/>
      <c r="B176" s="43"/>
      <c r="C176" s="43"/>
    </row>
    <row r="177">
      <c r="A177" s="23"/>
      <c r="B177" s="43"/>
      <c r="C177" s="43"/>
    </row>
    <row r="178">
      <c r="A178" s="23"/>
      <c r="B178" s="43"/>
      <c r="C178" s="43"/>
    </row>
    <row r="179">
      <c r="A179" s="23"/>
      <c r="B179" s="43"/>
      <c r="C179" s="43"/>
    </row>
    <row r="180">
      <c r="A180" s="23"/>
      <c r="B180" s="43"/>
      <c r="C180" s="43"/>
    </row>
    <row r="181">
      <c r="A181" s="23"/>
      <c r="B181" s="43"/>
      <c r="C181" s="43"/>
    </row>
    <row r="182">
      <c r="A182" s="23"/>
      <c r="B182" s="43"/>
      <c r="C182" s="43"/>
    </row>
    <row r="183">
      <c r="A183" s="23"/>
      <c r="B183" s="43"/>
      <c r="C183" s="43"/>
    </row>
    <row r="184">
      <c r="A184" s="23"/>
      <c r="B184" s="43"/>
      <c r="C184" s="43"/>
    </row>
    <row r="185">
      <c r="A185" s="23"/>
      <c r="B185" s="43"/>
      <c r="C185" s="43"/>
    </row>
    <row r="186">
      <c r="A186" s="23"/>
      <c r="B186" s="43"/>
      <c r="C186" s="43"/>
    </row>
    <row r="187">
      <c r="A187" s="23"/>
      <c r="B187" s="43"/>
      <c r="C187" s="43"/>
    </row>
    <row r="188">
      <c r="A188" s="23"/>
      <c r="B188" s="43"/>
      <c r="C188" s="43"/>
    </row>
    <row r="189">
      <c r="A189" s="23"/>
      <c r="B189" s="43"/>
      <c r="C189" s="43"/>
    </row>
    <row r="190">
      <c r="A190" s="23"/>
      <c r="B190" s="43"/>
      <c r="C190" s="43"/>
    </row>
    <row r="191">
      <c r="A191" s="23"/>
      <c r="B191" s="43"/>
      <c r="C191" s="43"/>
    </row>
    <row r="192">
      <c r="A192" s="23"/>
      <c r="B192" s="43"/>
      <c r="C192" s="43"/>
    </row>
    <row r="193">
      <c r="A193" s="23"/>
      <c r="B193" s="43"/>
      <c r="C193" s="43"/>
    </row>
    <row r="194">
      <c r="A194" s="23"/>
      <c r="B194" s="43"/>
      <c r="C194" s="43"/>
    </row>
    <row r="195">
      <c r="A195" s="23"/>
      <c r="B195" s="43"/>
      <c r="C195" s="43"/>
    </row>
    <row r="196">
      <c r="A196" s="23"/>
      <c r="B196" s="43"/>
      <c r="C196" s="43"/>
    </row>
    <row r="197">
      <c r="A197" s="23"/>
      <c r="B197" s="43"/>
      <c r="C197" s="43"/>
    </row>
    <row r="198">
      <c r="A198" s="23"/>
      <c r="B198" s="43"/>
      <c r="C198" s="43"/>
    </row>
    <row r="199">
      <c r="A199" s="23"/>
      <c r="B199" s="43"/>
      <c r="C199" s="43"/>
    </row>
    <row r="200">
      <c r="A200" s="23"/>
      <c r="B200" s="43"/>
      <c r="C200" s="43"/>
    </row>
    <row r="201">
      <c r="A201" s="23"/>
      <c r="B201" s="43"/>
      <c r="C201" s="43"/>
    </row>
    <row r="202">
      <c r="A202" s="23"/>
      <c r="B202" s="43"/>
      <c r="C202" s="43"/>
    </row>
    <row r="203">
      <c r="A203" s="23"/>
      <c r="B203" s="43"/>
      <c r="C203" s="43"/>
    </row>
    <row r="204">
      <c r="A204" s="23"/>
      <c r="B204" s="43"/>
      <c r="C204" s="43"/>
    </row>
    <row r="205">
      <c r="A205" s="23"/>
      <c r="B205" s="43"/>
      <c r="C205" s="43"/>
    </row>
    <row r="206">
      <c r="A206" s="23"/>
      <c r="B206" s="43"/>
      <c r="C206" s="43"/>
    </row>
    <row r="207">
      <c r="A207" s="23"/>
      <c r="B207" s="43"/>
      <c r="C207" s="43"/>
    </row>
    <row r="208">
      <c r="A208" s="23"/>
      <c r="B208" s="43"/>
      <c r="C208" s="43"/>
    </row>
    <row r="209">
      <c r="A209" s="23"/>
      <c r="B209" s="43"/>
      <c r="C209" s="43"/>
    </row>
    <row r="210">
      <c r="A210" s="23"/>
      <c r="B210" s="43"/>
      <c r="C210" s="43"/>
    </row>
    <row r="211">
      <c r="A211" s="23"/>
      <c r="B211" s="43"/>
      <c r="C211" s="43"/>
    </row>
    <row r="212">
      <c r="A212" s="23"/>
      <c r="B212" s="43"/>
      <c r="C212" s="43"/>
    </row>
    <row r="213">
      <c r="A213" s="23"/>
      <c r="B213" s="43"/>
      <c r="C213" s="43"/>
    </row>
    <row r="214">
      <c r="A214" s="23"/>
      <c r="B214" s="43"/>
      <c r="C214" s="43"/>
    </row>
    <row r="215">
      <c r="A215" s="23"/>
      <c r="B215" s="43"/>
      <c r="C215" s="43"/>
    </row>
    <row r="216">
      <c r="A216" s="23"/>
      <c r="B216" s="43"/>
      <c r="C216" s="43"/>
    </row>
    <row r="217">
      <c r="A217" s="23"/>
      <c r="B217" s="43"/>
      <c r="C217" s="43"/>
    </row>
    <row r="218">
      <c r="A218" s="23"/>
      <c r="B218" s="43"/>
      <c r="C218" s="43"/>
    </row>
    <row r="219">
      <c r="A219" s="23"/>
      <c r="B219" s="43"/>
      <c r="C219" s="43"/>
    </row>
    <row r="220">
      <c r="A220" s="23"/>
      <c r="B220" s="43"/>
      <c r="C220" s="43"/>
    </row>
    <row r="221">
      <c r="A221" s="23"/>
      <c r="B221" s="43"/>
      <c r="C221" s="43"/>
    </row>
    <row r="222">
      <c r="A222" s="23"/>
      <c r="B222" s="43"/>
      <c r="C222" s="43"/>
    </row>
    <row r="223">
      <c r="A223" s="23"/>
      <c r="B223" s="43"/>
      <c r="C223" s="43"/>
    </row>
    <row r="224">
      <c r="A224" s="23"/>
      <c r="B224" s="43"/>
      <c r="C224" s="43"/>
    </row>
    <row r="225">
      <c r="A225" s="23"/>
      <c r="B225" s="43"/>
      <c r="C225" s="43"/>
    </row>
    <row r="226">
      <c r="A226" s="23"/>
      <c r="B226" s="43"/>
      <c r="C226" s="43"/>
    </row>
    <row r="227">
      <c r="A227" s="23"/>
      <c r="B227" s="43"/>
      <c r="C227" s="43"/>
    </row>
    <row r="228">
      <c r="A228" s="23"/>
      <c r="B228" s="43"/>
      <c r="C228" s="43"/>
    </row>
    <row r="229">
      <c r="A229" s="23"/>
      <c r="B229" s="43"/>
      <c r="C229" s="43"/>
    </row>
    <row r="230">
      <c r="A230" s="23"/>
      <c r="B230" s="43"/>
      <c r="C230" s="43"/>
    </row>
    <row r="231">
      <c r="A231" s="23"/>
      <c r="B231" s="43"/>
      <c r="C231" s="43"/>
    </row>
    <row r="232">
      <c r="A232" s="23"/>
      <c r="B232" s="43"/>
      <c r="C232" s="43"/>
    </row>
    <row r="233">
      <c r="A233" s="23"/>
      <c r="B233" s="43"/>
      <c r="C233" s="43"/>
    </row>
    <row r="234">
      <c r="A234" s="23"/>
      <c r="B234" s="43"/>
      <c r="C234" s="43"/>
    </row>
    <row r="235">
      <c r="A235" s="23"/>
      <c r="B235" s="43"/>
      <c r="C235" s="43"/>
    </row>
    <row r="236">
      <c r="A236" s="23"/>
      <c r="B236" s="43"/>
      <c r="C236" s="43"/>
    </row>
    <row r="237">
      <c r="A237" s="23"/>
      <c r="B237" s="43"/>
      <c r="C237" s="43"/>
    </row>
    <row r="238">
      <c r="A238" s="23"/>
      <c r="B238" s="43"/>
      <c r="C238" s="43"/>
    </row>
    <row r="239">
      <c r="A239" s="23"/>
      <c r="B239" s="43"/>
      <c r="C239" s="43"/>
    </row>
    <row r="240">
      <c r="A240" s="23"/>
      <c r="B240" s="43"/>
      <c r="C240" s="43"/>
    </row>
    <row r="241">
      <c r="A241" s="23"/>
      <c r="B241" s="43"/>
      <c r="C241" s="43"/>
    </row>
    <row r="242">
      <c r="A242" s="23"/>
      <c r="B242" s="43"/>
      <c r="C242" s="43"/>
    </row>
    <row r="243">
      <c r="A243" s="23"/>
      <c r="B243" s="43"/>
      <c r="C243" s="43"/>
    </row>
    <row r="244">
      <c r="A244" s="23"/>
      <c r="B244" s="43"/>
      <c r="C244" s="43"/>
    </row>
    <row r="245">
      <c r="A245" s="23"/>
      <c r="B245" s="43"/>
      <c r="C245" s="43"/>
    </row>
    <row r="246">
      <c r="A246" s="23"/>
      <c r="B246" s="43"/>
      <c r="C246" s="43"/>
    </row>
    <row r="247">
      <c r="A247" s="23"/>
      <c r="B247" s="43"/>
      <c r="C247" s="43"/>
    </row>
    <row r="248">
      <c r="A248" s="23"/>
      <c r="B248" s="43"/>
      <c r="C248" s="43"/>
    </row>
    <row r="249">
      <c r="A249" s="23"/>
      <c r="B249" s="43"/>
      <c r="C249" s="43"/>
    </row>
    <row r="250">
      <c r="A250" s="23"/>
      <c r="B250" s="43"/>
      <c r="C250" s="43"/>
    </row>
    <row r="251">
      <c r="A251" s="23"/>
      <c r="B251" s="43"/>
      <c r="C251" s="43"/>
    </row>
    <row r="252">
      <c r="A252" s="23"/>
      <c r="B252" s="43"/>
      <c r="C252" s="43"/>
    </row>
    <row r="253">
      <c r="A253" s="23"/>
      <c r="B253" s="43"/>
      <c r="C253" s="43"/>
    </row>
    <row r="254">
      <c r="A254" s="23"/>
      <c r="B254" s="43"/>
      <c r="C254" s="43"/>
    </row>
    <row r="255">
      <c r="A255" s="23"/>
      <c r="B255" s="43"/>
      <c r="C255" s="43"/>
    </row>
    <row r="256">
      <c r="A256" s="23"/>
      <c r="B256" s="43"/>
      <c r="C256" s="43"/>
    </row>
    <row r="257">
      <c r="A257" s="23"/>
      <c r="B257" s="43"/>
      <c r="C257" s="43"/>
    </row>
    <row r="258">
      <c r="A258" s="23"/>
      <c r="B258" s="43"/>
      <c r="C258" s="43"/>
    </row>
    <row r="259">
      <c r="A259" s="23"/>
      <c r="B259" s="43"/>
      <c r="C259" s="43"/>
    </row>
    <row r="260">
      <c r="A260" s="23"/>
      <c r="B260" s="43"/>
      <c r="C260" s="43"/>
    </row>
    <row r="261">
      <c r="A261" s="23"/>
      <c r="B261" s="43"/>
      <c r="C261" s="43"/>
    </row>
    <row r="262">
      <c r="A262" s="23"/>
      <c r="B262" s="43"/>
      <c r="C262" s="43"/>
    </row>
    <row r="263">
      <c r="A263" s="23"/>
      <c r="B263" s="43"/>
      <c r="C263" s="43"/>
    </row>
    <row r="264">
      <c r="A264" s="23"/>
      <c r="B264" s="43"/>
      <c r="C264" s="43"/>
    </row>
    <row r="265">
      <c r="A265" s="23"/>
      <c r="B265" s="43"/>
      <c r="C265" s="43"/>
    </row>
    <row r="266">
      <c r="A266" s="23"/>
      <c r="B266" s="43"/>
      <c r="C266" s="43"/>
    </row>
    <row r="267">
      <c r="A267" s="23"/>
      <c r="B267" s="43"/>
      <c r="C267" s="43"/>
    </row>
    <row r="268">
      <c r="A268" s="23"/>
      <c r="B268" s="43"/>
      <c r="C268" s="43"/>
    </row>
    <row r="269">
      <c r="A269" s="23"/>
      <c r="B269" s="43"/>
      <c r="C269" s="43"/>
    </row>
    <row r="270">
      <c r="A270" s="23"/>
      <c r="B270" s="43"/>
      <c r="C270" s="43"/>
    </row>
    <row r="271">
      <c r="A271" s="23"/>
      <c r="B271" s="43"/>
      <c r="C271" s="43"/>
    </row>
    <row r="272">
      <c r="A272" s="23"/>
      <c r="B272" s="43"/>
      <c r="C272" s="43"/>
    </row>
    <row r="273">
      <c r="A273" s="23"/>
      <c r="B273" s="43"/>
      <c r="C273" s="43"/>
    </row>
    <row r="274">
      <c r="A274" s="23"/>
      <c r="B274" s="43"/>
      <c r="C274" s="43"/>
    </row>
    <row r="275">
      <c r="A275" s="23"/>
      <c r="B275" s="43"/>
      <c r="C275" s="43"/>
    </row>
    <row r="276">
      <c r="A276" s="23"/>
      <c r="B276" s="43"/>
      <c r="C276" s="43"/>
    </row>
    <row r="277">
      <c r="A277" s="23"/>
      <c r="B277" s="43"/>
      <c r="C277" s="43"/>
    </row>
    <row r="278">
      <c r="A278" s="23"/>
      <c r="B278" s="43"/>
      <c r="C278" s="43"/>
    </row>
    <row r="279">
      <c r="A279" s="23"/>
      <c r="B279" s="43"/>
      <c r="C279" s="43"/>
    </row>
    <row r="280">
      <c r="A280" s="23"/>
      <c r="B280" s="43"/>
      <c r="C280" s="43"/>
    </row>
    <row r="281">
      <c r="A281" s="23"/>
      <c r="B281" s="43"/>
      <c r="C281" s="43"/>
    </row>
    <row r="282">
      <c r="A282" s="23"/>
      <c r="B282" s="43"/>
      <c r="C282" s="43"/>
    </row>
    <row r="283">
      <c r="A283" s="23"/>
      <c r="B283" s="43"/>
      <c r="C283" s="43"/>
    </row>
    <row r="284">
      <c r="A284" s="23"/>
      <c r="B284" s="43"/>
      <c r="C284" s="43"/>
    </row>
    <row r="285">
      <c r="A285" s="23"/>
      <c r="B285" s="43"/>
      <c r="C285" s="43"/>
    </row>
    <row r="286">
      <c r="A286" s="23"/>
      <c r="B286" s="43"/>
      <c r="C286" s="43"/>
    </row>
    <row r="287">
      <c r="A287" s="23"/>
      <c r="B287" s="43"/>
      <c r="C287" s="43"/>
    </row>
    <row r="288">
      <c r="A288" s="23"/>
      <c r="B288" s="43"/>
      <c r="C288" s="43"/>
    </row>
    <row r="289">
      <c r="A289" s="23"/>
      <c r="B289" s="43"/>
      <c r="C289" s="43"/>
    </row>
    <row r="290">
      <c r="A290" s="23"/>
      <c r="B290" s="43"/>
      <c r="C290" s="43"/>
    </row>
    <row r="291">
      <c r="A291" s="23"/>
      <c r="B291" s="43"/>
      <c r="C291" s="43"/>
    </row>
    <row r="292">
      <c r="A292" s="23"/>
      <c r="B292" s="43"/>
      <c r="C292" s="43"/>
    </row>
    <row r="293">
      <c r="A293" s="23"/>
      <c r="B293" s="43"/>
      <c r="C293" s="43"/>
    </row>
    <row r="294">
      <c r="A294" s="23"/>
      <c r="B294" s="43"/>
      <c r="C294" s="43"/>
    </row>
    <row r="295">
      <c r="A295" s="23"/>
      <c r="B295" s="43"/>
      <c r="C295" s="43"/>
    </row>
    <row r="296">
      <c r="A296" s="23"/>
      <c r="B296" s="43"/>
      <c r="C296" s="43"/>
    </row>
    <row r="297">
      <c r="A297" s="23"/>
      <c r="B297" s="43"/>
      <c r="C297" s="43"/>
    </row>
    <row r="298">
      <c r="A298" s="23"/>
      <c r="B298" s="43"/>
      <c r="C298" s="43"/>
    </row>
    <row r="299">
      <c r="A299" s="23"/>
      <c r="B299" s="43"/>
      <c r="C299" s="43"/>
    </row>
    <row r="300">
      <c r="A300" s="23"/>
      <c r="B300" s="43"/>
      <c r="C300" s="43"/>
    </row>
    <row r="301">
      <c r="A301" s="23"/>
      <c r="B301" s="43"/>
      <c r="C301" s="43"/>
    </row>
    <row r="302">
      <c r="A302" s="23"/>
      <c r="B302" s="43"/>
      <c r="C302" s="43"/>
    </row>
    <row r="303">
      <c r="A303" s="23"/>
      <c r="B303" s="43"/>
      <c r="C303" s="43"/>
    </row>
    <row r="304">
      <c r="A304" s="23"/>
      <c r="B304" s="43"/>
      <c r="C304" s="43"/>
    </row>
    <row r="305">
      <c r="A305" s="23"/>
      <c r="B305" s="43"/>
      <c r="C305" s="43"/>
    </row>
    <row r="306">
      <c r="A306" s="23"/>
      <c r="B306" s="43"/>
      <c r="C306" s="43"/>
    </row>
    <row r="307">
      <c r="A307" s="23"/>
      <c r="B307" s="43"/>
      <c r="C307" s="43"/>
    </row>
    <row r="308">
      <c r="A308" s="23"/>
      <c r="B308" s="43"/>
      <c r="C308" s="43"/>
    </row>
    <row r="309">
      <c r="A309" s="23"/>
      <c r="B309" s="43"/>
      <c r="C309" s="43"/>
    </row>
    <row r="310">
      <c r="A310" s="23"/>
      <c r="B310" s="43"/>
      <c r="C310" s="43"/>
    </row>
    <row r="311">
      <c r="A311" s="23"/>
      <c r="B311" s="43"/>
      <c r="C311" s="43"/>
    </row>
    <row r="312">
      <c r="A312" s="23"/>
      <c r="B312" s="43"/>
      <c r="C312" s="43"/>
    </row>
    <row r="313">
      <c r="A313" s="23"/>
      <c r="B313" s="43"/>
      <c r="C313" s="43"/>
    </row>
    <row r="314">
      <c r="A314" s="23"/>
      <c r="B314" s="43"/>
      <c r="C314" s="43"/>
    </row>
    <row r="315">
      <c r="A315" s="23"/>
      <c r="B315" s="43"/>
      <c r="C315" s="43"/>
    </row>
    <row r="316">
      <c r="A316" s="23"/>
      <c r="B316" s="43"/>
      <c r="C316" s="43"/>
    </row>
    <row r="317">
      <c r="A317" s="23"/>
      <c r="B317" s="43"/>
      <c r="C317" s="43"/>
    </row>
    <row r="318">
      <c r="A318" s="23"/>
      <c r="B318" s="43"/>
      <c r="C318" s="43"/>
    </row>
    <row r="319">
      <c r="A319" s="23"/>
      <c r="B319" s="43"/>
      <c r="C319" s="43"/>
    </row>
    <row r="320">
      <c r="A320" s="23"/>
      <c r="B320" s="43"/>
      <c r="C320" s="43"/>
    </row>
    <row r="321">
      <c r="A321" s="23"/>
      <c r="B321" s="43"/>
      <c r="C321" s="43"/>
    </row>
    <row r="322">
      <c r="A322" s="23"/>
      <c r="B322" s="43"/>
      <c r="C322" s="43"/>
    </row>
    <row r="323">
      <c r="A323" s="23"/>
      <c r="B323" s="43"/>
      <c r="C323" s="43"/>
    </row>
    <row r="324">
      <c r="A324" s="23"/>
      <c r="B324" s="43"/>
      <c r="C324" s="43"/>
    </row>
    <row r="325">
      <c r="A325" s="23"/>
      <c r="B325" s="43"/>
      <c r="C325" s="43"/>
    </row>
    <row r="326">
      <c r="A326" s="23"/>
      <c r="B326" s="43"/>
      <c r="C326" s="43"/>
    </row>
    <row r="327">
      <c r="A327" s="23"/>
      <c r="B327" s="43"/>
      <c r="C327" s="43"/>
    </row>
    <row r="328">
      <c r="A328" s="23"/>
      <c r="B328" s="43"/>
      <c r="C328" s="43"/>
    </row>
    <row r="329">
      <c r="A329" s="23"/>
      <c r="B329" s="43"/>
      <c r="C329" s="43"/>
    </row>
    <row r="330">
      <c r="A330" s="23"/>
      <c r="B330" s="43"/>
      <c r="C330" s="43"/>
    </row>
    <row r="331">
      <c r="A331" s="23"/>
      <c r="B331" s="43"/>
      <c r="C331" s="43"/>
    </row>
    <row r="332">
      <c r="A332" s="23"/>
      <c r="B332" s="43"/>
      <c r="C332" s="43"/>
    </row>
    <row r="333">
      <c r="A333" s="23"/>
      <c r="B333" s="43"/>
      <c r="C333" s="43"/>
    </row>
    <row r="334">
      <c r="A334" s="23"/>
      <c r="B334" s="43"/>
      <c r="C334" s="43"/>
    </row>
    <row r="335">
      <c r="A335" s="23"/>
      <c r="B335" s="43"/>
      <c r="C335" s="43"/>
    </row>
    <row r="336">
      <c r="A336" s="23"/>
      <c r="B336" s="43"/>
      <c r="C336" s="43"/>
    </row>
    <row r="337">
      <c r="A337" s="23"/>
      <c r="B337" s="43"/>
      <c r="C337" s="43"/>
    </row>
    <row r="338">
      <c r="A338" s="23"/>
      <c r="B338" s="43"/>
      <c r="C338" s="43"/>
    </row>
    <row r="339">
      <c r="A339" s="23"/>
      <c r="B339" s="43"/>
      <c r="C339" s="43"/>
    </row>
    <row r="340">
      <c r="A340" s="23"/>
      <c r="B340" s="43"/>
      <c r="C340" s="43"/>
    </row>
    <row r="341">
      <c r="A341" s="23"/>
      <c r="B341" s="43"/>
      <c r="C341" s="43"/>
    </row>
    <row r="342">
      <c r="A342" s="23"/>
      <c r="B342" s="43"/>
      <c r="C342" s="43"/>
    </row>
    <row r="343">
      <c r="A343" s="23"/>
      <c r="B343" s="43"/>
      <c r="C343" s="43"/>
    </row>
    <row r="344">
      <c r="A344" s="23"/>
      <c r="B344" s="43"/>
      <c r="C344" s="43"/>
    </row>
    <row r="345">
      <c r="A345" s="23"/>
      <c r="B345" s="43"/>
      <c r="C345" s="43"/>
    </row>
    <row r="346">
      <c r="A346" s="23"/>
      <c r="B346" s="43"/>
      <c r="C346" s="43"/>
    </row>
    <row r="347">
      <c r="A347" s="23"/>
      <c r="B347" s="43"/>
      <c r="C347" s="43"/>
    </row>
    <row r="348">
      <c r="A348" s="23"/>
      <c r="B348" s="43"/>
      <c r="C348" s="43"/>
    </row>
    <row r="349">
      <c r="A349" s="23"/>
      <c r="B349" s="43"/>
      <c r="C349" s="43"/>
    </row>
    <row r="350">
      <c r="A350" s="23"/>
      <c r="B350" s="43"/>
      <c r="C350" s="43"/>
    </row>
    <row r="351">
      <c r="A351" s="23"/>
      <c r="B351" s="43"/>
      <c r="C351" s="43"/>
    </row>
    <row r="352">
      <c r="A352" s="23"/>
      <c r="B352" s="43"/>
      <c r="C352" s="43"/>
    </row>
    <row r="353">
      <c r="A353" s="23"/>
      <c r="B353" s="43"/>
      <c r="C353" s="43"/>
    </row>
    <row r="354">
      <c r="A354" s="23"/>
      <c r="B354" s="43"/>
      <c r="C354" s="43"/>
    </row>
    <row r="355">
      <c r="A355" s="23"/>
      <c r="B355" s="43"/>
      <c r="C355" s="43"/>
    </row>
    <row r="356">
      <c r="A356" s="23"/>
      <c r="B356" s="43"/>
      <c r="C356" s="43"/>
    </row>
    <row r="357">
      <c r="A357" s="23"/>
      <c r="B357" s="43"/>
      <c r="C357" s="43"/>
    </row>
    <row r="358">
      <c r="A358" s="23"/>
      <c r="B358" s="43"/>
      <c r="C358" s="43"/>
    </row>
    <row r="359">
      <c r="A359" s="23"/>
      <c r="B359" s="43"/>
      <c r="C359" s="43"/>
    </row>
    <row r="360">
      <c r="A360" s="23"/>
      <c r="B360" s="43"/>
      <c r="C360" s="43"/>
    </row>
    <row r="361">
      <c r="A361" s="23"/>
      <c r="B361" s="43"/>
      <c r="C361" s="43"/>
    </row>
    <row r="362">
      <c r="A362" s="23"/>
      <c r="B362" s="43"/>
      <c r="C362" s="43"/>
    </row>
    <row r="363">
      <c r="A363" s="23"/>
      <c r="B363" s="43"/>
      <c r="C363" s="43"/>
    </row>
    <row r="364">
      <c r="A364" s="23"/>
      <c r="B364" s="43"/>
      <c r="C364" s="43"/>
    </row>
    <row r="365">
      <c r="A365" s="23"/>
      <c r="B365" s="43"/>
      <c r="C365" s="43"/>
    </row>
    <row r="366">
      <c r="A366" s="23"/>
      <c r="B366" s="43"/>
      <c r="C366" s="43"/>
    </row>
    <row r="367">
      <c r="A367" s="23"/>
      <c r="B367" s="43"/>
      <c r="C367" s="43"/>
    </row>
    <row r="368">
      <c r="A368" s="23"/>
      <c r="B368" s="43"/>
      <c r="C368" s="43"/>
    </row>
    <row r="369">
      <c r="A369" s="23"/>
      <c r="B369" s="43"/>
      <c r="C369" s="43"/>
    </row>
    <row r="370">
      <c r="A370" s="23"/>
      <c r="B370" s="43"/>
      <c r="C370" s="43"/>
    </row>
    <row r="371">
      <c r="A371" s="23"/>
      <c r="B371" s="43"/>
      <c r="C371" s="43"/>
    </row>
    <row r="372">
      <c r="A372" s="23"/>
      <c r="B372" s="43"/>
      <c r="C372" s="43"/>
    </row>
    <row r="373">
      <c r="A373" s="23"/>
      <c r="B373" s="43"/>
      <c r="C373" s="43"/>
    </row>
    <row r="374">
      <c r="A374" s="23"/>
      <c r="B374" s="43"/>
      <c r="C374" s="43"/>
    </row>
    <row r="375">
      <c r="A375" s="23"/>
      <c r="B375" s="43"/>
      <c r="C375" s="43"/>
    </row>
    <row r="376">
      <c r="A376" s="23"/>
      <c r="B376" s="43"/>
      <c r="C376" s="43"/>
    </row>
    <row r="377">
      <c r="A377" s="23"/>
      <c r="B377" s="43"/>
      <c r="C377" s="43"/>
    </row>
    <row r="378">
      <c r="A378" s="23"/>
      <c r="B378" s="43"/>
      <c r="C378" s="43"/>
    </row>
    <row r="379">
      <c r="A379" s="23"/>
      <c r="B379" s="43"/>
      <c r="C379" s="43"/>
    </row>
    <row r="380">
      <c r="A380" s="23"/>
      <c r="B380" s="43"/>
      <c r="C380" s="43"/>
    </row>
    <row r="381">
      <c r="A381" s="23"/>
      <c r="B381" s="43"/>
      <c r="C381" s="43"/>
    </row>
    <row r="382">
      <c r="A382" s="23"/>
      <c r="B382" s="43"/>
      <c r="C382" s="43"/>
    </row>
    <row r="383">
      <c r="A383" s="23"/>
      <c r="B383" s="43"/>
      <c r="C383" s="43"/>
    </row>
    <row r="384">
      <c r="A384" s="23"/>
      <c r="B384" s="43"/>
      <c r="C384" s="43"/>
    </row>
    <row r="385">
      <c r="A385" s="23"/>
      <c r="B385" s="43"/>
      <c r="C385" s="43"/>
    </row>
    <row r="386">
      <c r="A386" s="23"/>
      <c r="B386" s="43"/>
      <c r="C386" s="43"/>
    </row>
    <row r="387">
      <c r="A387" s="23"/>
      <c r="B387" s="43"/>
      <c r="C387" s="43"/>
    </row>
    <row r="388">
      <c r="A388" s="23"/>
      <c r="B388" s="43"/>
      <c r="C388" s="43"/>
    </row>
    <row r="389">
      <c r="A389" s="23"/>
      <c r="B389" s="43"/>
      <c r="C389" s="43"/>
    </row>
    <row r="390">
      <c r="A390" s="23"/>
      <c r="B390" s="43"/>
      <c r="C390" s="43"/>
    </row>
    <row r="391">
      <c r="A391" s="23"/>
      <c r="B391" s="43"/>
      <c r="C391" s="43"/>
    </row>
    <row r="392">
      <c r="A392" s="23"/>
      <c r="B392" s="43"/>
      <c r="C392" s="43"/>
    </row>
    <row r="393">
      <c r="A393" s="23"/>
      <c r="B393" s="43"/>
      <c r="C393" s="43"/>
    </row>
    <row r="394">
      <c r="A394" s="23"/>
      <c r="B394" s="43"/>
      <c r="C394" s="43"/>
    </row>
    <row r="395">
      <c r="A395" s="23"/>
      <c r="B395" s="43"/>
      <c r="C395" s="43"/>
    </row>
    <row r="396">
      <c r="A396" s="23"/>
      <c r="B396" s="43"/>
      <c r="C396" s="43"/>
    </row>
    <row r="397">
      <c r="A397" s="23"/>
      <c r="B397" s="43"/>
      <c r="C397" s="43"/>
    </row>
    <row r="398">
      <c r="A398" s="23"/>
      <c r="B398" s="43"/>
      <c r="C398" s="43"/>
    </row>
    <row r="399">
      <c r="A399" s="23"/>
      <c r="B399" s="43"/>
      <c r="C399" s="43"/>
    </row>
    <row r="400">
      <c r="A400" s="23"/>
      <c r="B400" s="43"/>
      <c r="C400" s="43"/>
    </row>
    <row r="401">
      <c r="A401" s="23"/>
      <c r="B401" s="43"/>
      <c r="C401" s="43"/>
    </row>
    <row r="402">
      <c r="A402" s="23"/>
      <c r="B402" s="43"/>
      <c r="C402" s="43"/>
    </row>
    <row r="403">
      <c r="A403" s="23"/>
      <c r="B403" s="43"/>
      <c r="C403" s="43"/>
    </row>
    <row r="404">
      <c r="A404" s="23"/>
      <c r="B404" s="43"/>
      <c r="C404" s="43"/>
    </row>
    <row r="405">
      <c r="A405" s="23"/>
      <c r="B405" s="43"/>
      <c r="C405" s="43"/>
    </row>
    <row r="406">
      <c r="A406" s="23"/>
      <c r="B406" s="43"/>
      <c r="C406" s="43"/>
    </row>
    <row r="407">
      <c r="A407" s="23"/>
      <c r="B407" s="43"/>
      <c r="C407" s="43"/>
    </row>
    <row r="408">
      <c r="A408" s="23"/>
      <c r="B408" s="43"/>
      <c r="C408" s="43"/>
    </row>
    <row r="409">
      <c r="A409" s="23"/>
      <c r="B409" s="43"/>
      <c r="C409" s="43"/>
    </row>
    <row r="410">
      <c r="A410" s="23"/>
      <c r="B410" s="43"/>
      <c r="C410" s="43"/>
    </row>
    <row r="411">
      <c r="A411" s="23"/>
      <c r="B411" s="43"/>
      <c r="C411" s="43"/>
    </row>
    <row r="412">
      <c r="A412" s="23"/>
      <c r="B412" s="43"/>
      <c r="C412" s="43"/>
    </row>
    <row r="413">
      <c r="A413" s="23"/>
      <c r="B413" s="43"/>
      <c r="C413" s="43"/>
    </row>
    <row r="414">
      <c r="A414" s="23"/>
      <c r="B414" s="43"/>
      <c r="C414" s="43"/>
    </row>
    <row r="415">
      <c r="A415" s="23"/>
      <c r="B415" s="43"/>
      <c r="C415" s="43"/>
    </row>
    <row r="416">
      <c r="A416" s="23"/>
      <c r="B416" s="43"/>
      <c r="C416" s="43"/>
    </row>
    <row r="417">
      <c r="A417" s="23"/>
      <c r="B417" s="43"/>
      <c r="C417" s="43"/>
    </row>
    <row r="418">
      <c r="A418" s="23"/>
      <c r="B418" s="43"/>
      <c r="C418" s="43"/>
    </row>
    <row r="419">
      <c r="A419" s="23"/>
      <c r="B419" s="43"/>
      <c r="C419" s="43"/>
    </row>
    <row r="420">
      <c r="A420" s="23"/>
      <c r="B420" s="43"/>
      <c r="C420" s="43"/>
    </row>
    <row r="421">
      <c r="A421" s="23"/>
      <c r="B421" s="43"/>
      <c r="C421" s="43"/>
    </row>
    <row r="422">
      <c r="A422" s="23"/>
      <c r="B422" s="43"/>
      <c r="C422" s="43"/>
    </row>
    <row r="423">
      <c r="A423" s="23"/>
      <c r="B423" s="43"/>
      <c r="C423" s="43"/>
    </row>
    <row r="424">
      <c r="A424" s="23"/>
      <c r="B424" s="43"/>
      <c r="C424" s="43"/>
    </row>
    <row r="425">
      <c r="A425" s="23"/>
      <c r="B425" s="43"/>
      <c r="C425" s="43"/>
    </row>
    <row r="426">
      <c r="A426" s="23"/>
      <c r="B426" s="43"/>
      <c r="C426" s="43"/>
    </row>
    <row r="427">
      <c r="A427" s="23"/>
      <c r="B427" s="43"/>
      <c r="C427" s="43"/>
    </row>
    <row r="428">
      <c r="A428" s="23"/>
      <c r="B428" s="43"/>
      <c r="C428" s="43"/>
    </row>
    <row r="429">
      <c r="A429" s="23"/>
      <c r="B429" s="43"/>
      <c r="C429" s="43"/>
    </row>
    <row r="430">
      <c r="A430" s="23"/>
      <c r="B430" s="43"/>
      <c r="C430" s="43"/>
    </row>
    <row r="431">
      <c r="A431" s="23"/>
      <c r="B431" s="43"/>
      <c r="C431" s="43"/>
    </row>
    <row r="432">
      <c r="A432" s="23"/>
      <c r="B432" s="43"/>
      <c r="C432" s="43"/>
    </row>
    <row r="433">
      <c r="A433" s="23"/>
      <c r="B433" s="43"/>
      <c r="C433" s="43"/>
    </row>
    <row r="434">
      <c r="A434" s="23"/>
      <c r="B434" s="43"/>
      <c r="C434" s="43"/>
    </row>
    <row r="435">
      <c r="A435" s="23"/>
      <c r="B435" s="43"/>
      <c r="C435" s="43"/>
    </row>
    <row r="436">
      <c r="A436" s="23"/>
      <c r="B436" s="43"/>
      <c r="C436" s="43"/>
    </row>
    <row r="437">
      <c r="A437" s="23"/>
      <c r="B437" s="43"/>
      <c r="C437" s="43"/>
    </row>
    <row r="438">
      <c r="A438" s="23"/>
      <c r="B438" s="43"/>
      <c r="C438" s="43"/>
    </row>
    <row r="439">
      <c r="A439" s="23"/>
      <c r="B439" s="43"/>
      <c r="C439" s="43"/>
    </row>
    <row r="440">
      <c r="A440" s="23"/>
      <c r="B440" s="43"/>
      <c r="C440" s="43"/>
    </row>
    <row r="441">
      <c r="A441" s="23"/>
      <c r="B441" s="43"/>
      <c r="C441" s="43"/>
    </row>
    <row r="442">
      <c r="A442" s="23"/>
      <c r="B442" s="43"/>
      <c r="C442" s="43"/>
    </row>
    <row r="443">
      <c r="A443" s="23"/>
      <c r="B443" s="43"/>
      <c r="C443" s="43"/>
    </row>
    <row r="444">
      <c r="A444" s="23"/>
      <c r="B444" s="43"/>
      <c r="C444" s="43"/>
    </row>
    <row r="445">
      <c r="A445" s="23"/>
      <c r="B445" s="43"/>
      <c r="C445" s="43"/>
    </row>
    <row r="446">
      <c r="A446" s="23"/>
      <c r="B446" s="43"/>
      <c r="C446" s="43"/>
    </row>
    <row r="447">
      <c r="A447" s="23"/>
      <c r="B447" s="43"/>
      <c r="C447" s="43"/>
    </row>
    <row r="448">
      <c r="A448" s="23"/>
      <c r="B448" s="43"/>
      <c r="C448" s="43"/>
    </row>
    <row r="449">
      <c r="A449" s="23"/>
      <c r="B449" s="43"/>
      <c r="C449" s="43"/>
    </row>
    <row r="450">
      <c r="A450" s="23"/>
      <c r="B450" s="43"/>
      <c r="C450" s="43"/>
    </row>
    <row r="451">
      <c r="A451" s="23"/>
      <c r="B451" s="43"/>
      <c r="C451" s="43"/>
    </row>
    <row r="452">
      <c r="A452" s="23"/>
      <c r="B452" s="43"/>
      <c r="C452" s="43"/>
    </row>
    <row r="453">
      <c r="A453" s="23"/>
      <c r="B453" s="43"/>
      <c r="C453" s="43"/>
    </row>
    <row r="454">
      <c r="A454" s="23"/>
      <c r="B454" s="43"/>
      <c r="C454" s="43"/>
    </row>
    <row r="455">
      <c r="A455" s="23"/>
      <c r="B455" s="43"/>
      <c r="C455" s="43"/>
    </row>
    <row r="456">
      <c r="A456" s="23"/>
      <c r="B456" s="43"/>
      <c r="C456" s="43"/>
    </row>
    <row r="457">
      <c r="A457" s="23"/>
      <c r="B457" s="43"/>
      <c r="C457" s="43"/>
    </row>
    <row r="458">
      <c r="A458" s="23"/>
      <c r="B458" s="43"/>
      <c r="C458" s="43"/>
    </row>
    <row r="459">
      <c r="A459" s="23"/>
      <c r="B459" s="43"/>
      <c r="C459" s="43"/>
    </row>
    <row r="460">
      <c r="A460" s="23"/>
      <c r="B460" s="43"/>
      <c r="C460" s="43"/>
    </row>
    <row r="461">
      <c r="A461" s="23"/>
      <c r="B461" s="43"/>
      <c r="C461" s="43"/>
    </row>
    <row r="462">
      <c r="A462" s="23"/>
      <c r="B462" s="43"/>
      <c r="C462" s="43"/>
    </row>
    <row r="463">
      <c r="A463" s="23"/>
      <c r="B463" s="43"/>
      <c r="C463" s="43"/>
    </row>
    <row r="464">
      <c r="A464" s="23"/>
      <c r="B464" s="43"/>
      <c r="C464" s="43"/>
    </row>
    <row r="465">
      <c r="A465" s="23"/>
      <c r="B465" s="43"/>
      <c r="C465" s="43"/>
    </row>
    <row r="466">
      <c r="A466" s="23"/>
      <c r="B466" s="43"/>
      <c r="C466" s="43"/>
    </row>
    <row r="467">
      <c r="A467" s="23"/>
      <c r="B467" s="43"/>
      <c r="C467" s="43"/>
    </row>
    <row r="468">
      <c r="A468" s="23"/>
      <c r="B468" s="43"/>
      <c r="C468" s="43"/>
    </row>
    <row r="469">
      <c r="A469" s="23"/>
      <c r="B469" s="43"/>
      <c r="C469" s="43"/>
    </row>
    <row r="470">
      <c r="A470" s="23"/>
      <c r="B470" s="43"/>
      <c r="C470" s="43"/>
    </row>
    <row r="471">
      <c r="A471" s="23"/>
      <c r="B471" s="43"/>
      <c r="C471" s="43"/>
    </row>
    <row r="472">
      <c r="A472" s="23"/>
      <c r="B472" s="43"/>
      <c r="C472" s="43"/>
    </row>
    <row r="473">
      <c r="A473" s="23"/>
      <c r="B473" s="43"/>
      <c r="C473" s="43"/>
    </row>
    <row r="474">
      <c r="A474" s="23"/>
      <c r="B474" s="43"/>
      <c r="C474" s="43"/>
    </row>
    <row r="475">
      <c r="A475" s="23"/>
      <c r="B475" s="43"/>
      <c r="C475" s="43"/>
    </row>
    <row r="476">
      <c r="A476" s="23"/>
      <c r="B476" s="43"/>
      <c r="C476" s="43"/>
    </row>
    <row r="477">
      <c r="A477" s="23"/>
      <c r="B477" s="43"/>
      <c r="C477" s="43"/>
    </row>
    <row r="478">
      <c r="A478" s="23"/>
      <c r="B478" s="43"/>
      <c r="C478" s="43"/>
    </row>
    <row r="479">
      <c r="A479" s="23"/>
      <c r="B479" s="43"/>
      <c r="C479" s="43"/>
    </row>
    <row r="480">
      <c r="A480" s="23"/>
      <c r="B480" s="43"/>
      <c r="C480" s="43"/>
    </row>
    <row r="481">
      <c r="A481" s="23"/>
      <c r="B481" s="43"/>
      <c r="C481" s="43"/>
    </row>
    <row r="482">
      <c r="A482" s="23"/>
      <c r="B482" s="43"/>
      <c r="C482" s="43"/>
    </row>
    <row r="483">
      <c r="A483" s="23"/>
      <c r="B483" s="43"/>
      <c r="C483" s="43"/>
    </row>
    <row r="484">
      <c r="A484" s="23"/>
      <c r="B484" s="43"/>
      <c r="C484" s="43"/>
    </row>
    <row r="485">
      <c r="A485" s="23"/>
      <c r="B485" s="43"/>
      <c r="C485" s="43"/>
    </row>
    <row r="486">
      <c r="A486" s="23"/>
      <c r="B486" s="43"/>
      <c r="C486" s="43"/>
    </row>
    <row r="487">
      <c r="A487" s="23"/>
      <c r="B487" s="43"/>
      <c r="C487" s="43"/>
    </row>
    <row r="488">
      <c r="A488" s="23"/>
      <c r="B488" s="43"/>
      <c r="C488" s="43"/>
    </row>
    <row r="489">
      <c r="A489" s="23"/>
      <c r="B489" s="43"/>
      <c r="C489" s="43"/>
    </row>
    <row r="490">
      <c r="A490" s="23"/>
      <c r="B490" s="43"/>
      <c r="C490" s="43"/>
    </row>
    <row r="491">
      <c r="A491" s="23"/>
      <c r="B491" s="43"/>
      <c r="C491" s="43"/>
    </row>
    <row r="492">
      <c r="A492" s="23"/>
      <c r="B492" s="43"/>
      <c r="C492" s="43"/>
    </row>
    <row r="493">
      <c r="A493" s="23"/>
      <c r="B493" s="43"/>
      <c r="C493" s="43"/>
    </row>
    <row r="494">
      <c r="A494" s="23"/>
      <c r="B494" s="43"/>
      <c r="C494" s="43"/>
    </row>
    <row r="495">
      <c r="A495" s="23"/>
      <c r="B495" s="43"/>
      <c r="C495" s="43"/>
    </row>
    <row r="496">
      <c r="A496" s="23"/>
      <c r="B496" s="43"/>
      <c r="C496" s="43"/>
    </row>
    <row r="497">
      <c r="A497" s="23"/>
      <c r="B497" s="43"/>
      <c r="C497" s="43"/>
    </row>
    <row r="498">
      <c r="A498" s="23"/>
      <c r="B498" s="43"/>
      <c r="C498" s="43"/>
    </row>
    <row r="499">
      <c r="A499" s="23"/>
      <c r="B499" s="43"/>
      <c r="C499" s="43"/>
    </row>
    <row r="500">
      <c r="A500" s="23"/>
      <c r="B500" s="43"/>
      <c r="C500" s="43"/>
    </row>
    <row r="501">
      <c r="A501" s="23"/>
      <c r="B501" s="43"/>
      <c r="C501" s="43"/>
    </row>
    <row r="502">
      <c r="A502" s="23"/>
      <c r="B502" s="43"/>
      <c r="C502" s="43"/>
    </row>
    <row r="503">
      <c r="A503" s="23"/>
      <c r="B503" s="43"/>
      <c r="C503" s="43"/>
    </row>
    <row r="504">
      <c r="A504" s="23"/>
      <c r="B504" s="43"/>
      <c r="C504" s="43"/>
    </row>
    <row r="505">
      <c r="A505" s="23"/>
      <c r="B505" s="43"/>
      <c r="C505" s="43"/>
    </row>
    <row r="506">
      <c r="A506" s="23"/>
      <c r="B506" s="43"/>
      <c r="C506" s="43"/>
    </row>
    <row r="507">
      <c r="A507" s="23"/>
      <c r="B507" s="43"/>
      <c r="C507" s="43"/>
    </row>
    <row r="508">
      <c r="A508" s="23"/>
      <c r="B508" s="43"/>
      <c r="C508" s="43"/>
    </row>
    <row r="509">
      <c r="A509" s="23"/>
      <c r="B509" s="43"/>
      <c r="C509" s="43"/>
    </row>
    <row r="510">
      <c r="A510" s="23"/>
      <c r="B510" s="43"/>
      <c r="C510" s="43"/>
    </row>
    <row r="511">
      <c r="A511" s="23"/>
      <c r="B511" s="43"/>
      <c r="C511" s="43"/>
    </row>
    <row r="512">
      <c r="A512" s="23"/>
      <c r="B512" s="43"/>
      <c r="C512" s="43"/>
    </row>
    <row r="513">
      <c r="A513" s="23"/>
      <c r="B513" s="43"/>
      <c r="C513" s="43"/>
    </row>
    <row r="514">
      <c r="A514" s="23"/>
      <c r="B514" s="43"/>
      <c r="C514" s="43"/>
    </row>
    <row r="515">
      <c r="A515" s="23"/>
      <c r="B515" s="43"/>
      <c r="C515" s="43"/>
    </row>
    <row r="516">
      <c r="A516" s="23"/>
      <c r="B516" s="43"/>
      <c r="C516" s="43"/>
    </row>
    <row r="517">
      <c r="A517" s="23"/>
      <c r="B517" s="43"/>
      <c r="C517" s="43"/>
    </row>
    <row r="518">
      <c r="A518" s="23"/>
      <c r="B518" s="43"/>
      <c r="C518" s="43"/>
    </row>
    <row r="519">
      <c r="A519" s="23"/>
      <c r="B519" s="43"/>
      <c r="C519" s="43"/>
    </row>
    <row r="520">
      <c r="A520" s="23"/>
      <c r="B520" s="43"/>
      <c r="C520" s="43"/>
    </row>
    <row r="521">
      <c r="A521" s="23"/>
      <c r="B521" s="43"/>
      <c r="C521" s="43"/>
    </row>
    <row r="522">
      <c r="A522" s="23"/>
      <c r="B522" s="43"/>
      <c r="C522" s="43"/>
    </row>
    <row r="523">
      <c r="A523" s="23"/>
      <c r="B523" s="43"/>
      <c r="C523" s="43"/>
    </row>
    <row r="524">
      <c r="A524" s="23"/>
      <c r="B524" s="43"/>
      <c r="C524" s="43"/>
    </row>
    <row r="525">
      <c r="A525" s="23"/>
      <c r="B525" s="43"/>
      <c r="C525" s="43"/>
    </row>
    <row r="526">
      <c r="A526" s="23"/>
      <c r="B526" s="43"/>
      <c r="C526" s="43"/>
    </row>
    <row r="527">
      <c r="A527" s="23"/>
      <c r="B527" s="43"/>
      <c r="C527" s="43"/>
    </row>
    <row r="528">
      <c r="A528" s="23"/>
      <c r="B528" s="43"/>
      <c r="C528" s="43"/>
    </row>
    <row r="529">
      <c r="A529" s="23"/>
      <c r="B529" s="43"/>
      <c r="C529" s="43"/>
    </row>
    <row r="530">
      <c r="A530" s="23"/>
      <c r="B530" s="43"/>
      <c r="C530" s="43"/>
    </row>
    <row r="531">
      <c r="A531" s="23"/>
      <c r="B531" s="43"/>
      <c r="C531" s="43"/>
    </row>
    <row r="532">
      <c r="A532" s="23"/>
      <c r="B532" s="43"/>
      <c r="C532" s="43"/>
    </row>
    <row r="533">
      <c r="A533" s="23"/>
      <c r="B533" s="43"/>
      <c r="C533" s="43"/>
    </row>
    <row r="534">
      <c r="A534" s="23"/>
      <c r="B534" s="43"/>
      <c r="C534" s="43"/>
    </row>
    <row r="535">
      <c r="A535" s="23"/>
      <c r="B535" s="43"/>
      <c r="C535" s="43"/>
    </row>
    <row r="536">
      <c r="A536" s="23"/>
      <c r="B536" s="43"/>
      <c r="C536" s="43"/>
    </row>
    <row r="537">
      <c r="A537" s="23"/>
      <c r="B537" s="43"/>
      <c r="C537" s="43"/>
    </row>
    <row r="538">
      <c r="A538" s="23"/>
      <c r="B538" s="43"/>
      <c r="C538" s="43"/>
    </row>
    <row r="539">
      <c r="A539" s="23"/>
      <c r="B539" s="43"/>
      <c r="C539" s="43"/>
    </row>
    <row r="540">
      <c r="A540" s="23"/>
      <c r="B540" s="43"/>
      <c r="C540" s="43"/>
    </row>
    <row r="541">
      <c r="A541" s="23"/>
      <c r="B541" s="43"/>
      <c r="C541" s="43"/>
    </row>
    <row r="542">
      <c r="A542" s="23"/>
      <c r="B542" s="43"/>
      <c r="C542" s="43"/>
    </row>
    <row r="543">
      <c r="A543" s="23"/>
      <c r="B543" s="43"/>
      <c r="C543" s="43"/>
    </row>
    <row r="544">
      <c r="A544" s="23"/>
      <c r="B544" s="43"/>
      <c r="C544" s="43"/>
    </row>
    <row r="545">
      <c r="A545" s="23"/>
      <c r="B545" s="43"/>
      <c r="C545" s="43"/>
    </row>
    <row r="546">
      <c r="A546" s="23"/>
      <c r="B546" s="43"/>
      <c r="C546" s="43"/>
    </row>
    <row r="547">
      <c r="A547" s="23"/>
      <c r="B547" s="43"/>
      <c r="C547" s="43"/>
    </row>
    <row r="548">
      <c r="A548" s="23"/>
      <c r="B548" s="43"/>
      <c r="C548" s="43"/>
    </row>
    <row r="549">
      <c r="A549" s="23"/>
      <c r="B549" s="43"/>
      <c r="C549" s="43"/>
    </row>
    <row r="550">
      <c r="A550" s="23"/>
      <c r="B550" s="43"/>
      <c r="C550" s="43"/>
    </row>
    <row r="551">
      <c r="A551" s="23"/>
      <c r="B551" s="43"/>
      <c r="C551" s="43"/>
    </row>
    <row r="552">
      <c r="A552" s="23"/>
      <c r="B552" s="43"/>
      <c r="C552" s="43"/>
    </row>
    <row r="553">
      <c r="A553" s="23"/>
      <c r="B553" s="43"/>
      <c r="C553" s="43"/>
    </row>
    <row r="554">
      <c r="A554" s="23"/>
      <c r="B554" s="43"/>
      <c r="C554" s="43"/>
    </row>
    <row r="555">
      <c r="A555" s="23"/>
      <c r="B555" s="43"/>
      <c r="C555" s="43"/>
    </row>
    <row r="556">
      <c r="A556" s="23"/>
      <c r="B556" s="43"/>
      <c r="C556" s="43"/>
    </row>
    <row r="557">
      <c r="A557" s="23"/>
      <c r="B557" s="43"/>
      <c r="C557" s="43"/>
    </row>
    <row r="558">
      <c r="A558" s="23"/>
      <c r="B558" s="43"/>
      <c r="C558" s="43"/>
    </row>
    <row r="559">
      <c r="A559" s="23"/>
      <c r="B559" s="43"/>
      <c r="C559" s="43"/>
    </row>
    <row r="560">
      <c r="A560" s="23"/>
      <c r="B560" s="43"/>
      <c r="C560" s="43"/>
    </row>
    <row r="561">
      <c r="A561" s="23"/>
      <c r="B561" s="43"/>
      <c r="C561" s="43"/>
    </row>
    <row r="562">
      <c r="A562" s="23"/>
      <c r="B562" s="43"/>
      <c r="C562" s="43"/>
    </row>
    <row r="563">
      <c r="A563" s="23"/>
      <c r="B563" s="43"/>
      <c r="C563" s="43"/>
    </row>
    <row r="564">
      <c r="A564" s="23"/>
      <c r="B564" s="43"/>
      <c r="C564" s="43"/>
    </row>
    <row r="565">
      <c r="A565" s="23"/>
      <c r="B565" s="43"/>
      <c r="C565" s="43"/>
    </row>
    <row r="566">
      <c r="A566" s="23"/>
      <c r="B566" s="43"/>
      <c r="C566" s="43"/>
    </row>
    <row r="567">
      <c r="A567" s="23"/>
      <c r="B567" s="43"/>
      <c r="C567" s="43"/>
    </row>
    <row r="568">
      <c r="A568" s="23"/>
      <c r="B568" s="43"/>
      <c r="C568" s="43"/>
    </row>
    <row r="569">
      <c r="A569" s="23"/>
      <c r="B569" s="43"/>
      <c r="C569" s="43"/>
    </row>
    <row r="570">
      <c r="A570" s="23"/>
      <c r="B570" s="43"/>
      <c r="C570" s="43"/>
    </row>
    <row r="571">
      <c r="A571" s="23"/>
      <c r="B571" s="43"/>
      <c r="C571" s="43"/>
    </row>
    <row r="572">
      <c r="A572" s="23"/>
      <c r="B572" s="43"/>
      <c r="C572" s="43"/>
    </row>
    <row r="573">
      <c r="A573" s="23"/>
      <c r="B573" s="43"/>
      <c r="C573" s="43"/>
    </row>
    <row r="574">
      <c r="A574" s="23"/>
      <c r="B574" s="43"/>
      <c r="C574" s="43"/>
    </row>
    <row r="575">
      <c r="A575" s="23"/>
      <c r="B575" s="43"/>
      <c r="C575" s="43"/>
    </row>
    <row r="576">
      <c r="A576" s="23"/>
      <c r="B576" s="43"/>
      <c r="C576" s="43"/>
    </row>
    <row r="577">
      <c r="A577" s="23"/>
      <c r="B577" s="43"/>
      <c r="C577" s="43"/>
    </row>
    <row r="578">
      <c r="A578" s="23"/>
      <c r="B578" s="43"/>
      <c r="C578" s="43"/>
    </row>
    <row r="579">
      <c r="A579" s="23"/>
      <c r="B579" s="43"/>
      <c r="C579" s="43"/>
    </row>
    <row r="580">
      <c r="A580" s="23"/>
      <c r="B580" s="43"/>
      <c r="C580" s="43"/>
    </row>
    <row r="581">
      <c r="A581" s="23"/>
      <c r="B581" s="43"/>
      <c r="C581" s="43"/>
    </row>
    <row r="582">
      <c r="A582" s="23"/>
      <c r="B582" s="43"/>
      <c r="C582" s="43"/>
    </row>
    <row r="583">
      <c r="A583" s="23"/>
      <c r="B583" s="43"/>
      <c r="C583" s="43"/>
    </row>
    <row r="584">
      <c r="A584" s="23"/>
      <c r="B584" s="43"/>
      <c r="C584" s="43"/>
    </row>
    <row r="585">
      <c r="A585" s="23"/>
      <c r="B585" s="43"/>
      <c r="C585" s="43"/>
    </row>
    <row r="586">
      <c r="A586" s="23"/>
      <c r="B586" s="43"/>
      <c r="C586" s="43"/>
    </row>
    <row r="587">
      <c r="A587" s="23"/>
      <c r="B587" s="43"/>
      <c r="C587" s="43"/>
    </row>
    <row r="588">
      <c r="A588" s="23"/>
      <c r="B588" s="43"/>
      <c r="C588" s="43"/>
    </row>
    <row r="589">
      <c r="A589" s="23"/>
      <c r="B589" s="43"/>
      <c r="C589" s="43"/>
    </row>
    <row r="590">
      <c r="A590" s="23"/>
      <c r="B590" s="43"/>
      <c r="C590" s="43"/>
    </row>
    <row r="591">
      <c r="A591" s="23"/>
      <c r="B591" s="43"/>
      <c r="C591" s="43"/>
    </row>
    <row r="592">
      <c r="A592" s="23"/>
      <c r="B592" s="43"/>
      <c r="C592" s="43"/>
    </row>
    <row r="593">
      <c r="A593" s="23"/>
      <c r="B593" s="43"/>
      <c r="C593" s="43"/>
    </row>
    <row r="594">
      <c r="A594" s="23"/>
      <c r="B594" s="43"/>
      <c r="C594" s="43"/>
    </row>
    <row r="595">
      <c r="A595" s="23"/>
      <c r="B595" s="43"/>
      <c r="C595" s="43"/>
    </row>
    <row r="596">
      <c r="A596" s="23"/>
      <c r="B596" s="43"/>
      <c r="C596" s="43"/>
    </row>
    <row r="597">
      <c r="A597" s="23"/>
      <c r="B597" s="43"/>
      <c r="C597" s="43"/>
    </row>
    <row r="598">
      <c r="A598" s="23"/>
      <c r="B598" s="43"/>
      <c r="C598" s="43"/>
    </row>
    <row r="599">
      <c r="A599" s="23"/>
      <c r="B599" s="43"/>
      <c r="C599" s="43"/>
    </row>
    <row r="600">
      <c r="A600" s="23"/>
      <c r="B600" s="43"/>
      <c r="C600" s="43"/>
    </row>
    <row r="601">
      <c r="A601" s="23"/>
      <c r="B601" s="43"/>
      <c r="C601" s="43"/>
    </row>
    <row r="602">
      <c r="A602" s="23"/>
      <c r="B602" s="43"/>
      <c r="C602" s="43"/>
    </row>
    <row r="603">
      <c r="A603" s="23"/>
      <c r="B603" s="43"/>
      <c r="C603" s="43"/>
    </row>
    <row r="604">
      <c r="A604" s="23"/>
      <c r="B604" s="43"/>
      <c r="C604" s="43"/>
    </row>
    <row r="605">
      <c r="A605" s="23"/>
      <c r="B605" s="43"/>
      <c r="C605" s="43"/>
    </row>
    <row r="606">
      <c r="A606" s="23"/>
      <c r="B606" s="43"/>
      <c r="C606" s="43"/>
    </row>
    <row r="607">
      <c r="A607" s="23"/>
      <c r="B607" s="43"/>
      <c r="C607" s="43"/>
    </row>
    <row r="608">
      <c r="A608" s="23"/>
      <c r="B608" s="43"/>
      <c r="C608" s="43"/>
    </row>
    <row r="609">
      <c r="A609" s="23"/>
      <c r="B609" s="43"/>
      <c r="C609" s="43"/>
    </row>
    <row r="610">
      <c r="A610" s="23"/>
      <c r="B610" s="43"/>
      <c r="C610" s="43"/>
    </row>
    <row r="611">
      <c r="A611" s="23"/>
      <c r="B611" s="43"/>
      <c r="C611" s="43"/>
    </row>
    <row r="612">
      <c r="A612" s="23"/>
      <c r="B612" s="43"/>
      <c r="C612" s="43"/>
    </row>
    <row r="613">
      <c r="A613" s="23"/>
      <c r="B613" s="43"/>
      <c r="C613" s="43"/>
    </row>
    <row r="614">
      <c r="A614" s="23"/>
      <c r="B614" s="43"/>
      <c r="C614" s="43"/>
    </row>
    <row r="615">
      <c r="A615" s="23"/>
      <c r="B615" s="43"/>
      <c r="C615" s="43"/>
    </row>
    <row r="616">
      <c r="A616" s="23"/>
      <c r="B616" s="43"/>
      <c r="C616" s="43"/>
    </row>
    <row r="617">
      <c r="A617" s="23"/>
      <c r="B617" s="43"/>
      <c r="C617" s="43"/>
    </row>
    <row r="618">
      <c r="A618" s="23"/>
      <c r="B618" s="43"/>
      <c r="C618" s="43"/>
    </row>
    <row r="619">
      <c r="A619" s="23"/>
      <c r="B619" s="43"/>
      <c r="C619" s="43"/>
    </row>
    <row r="620">
      <c r="A620" s="23"/>
      <c r="B620" s="43"/>
      <c r="C620" s="43"/>
    </row>
    <row r="621">
      <c r="A621" s="23"/>
      <c r="B621" s="43"/>
      <c r="C621" s="43"/>
    </row>
    <row r="622">
      <c r="A622" s="23"/>
      <c r="B622" s="43"/>
      <c r="C622" s="43"/>
    </row>
    <row r="623">
      <c r="A623" s="23"/>
      <c r="B623" s="43"/>
      <c r="C623" s="43"/>
    </row>
    <row r="624">
      <c r="A624" s="23"/>
      <c r="B624" s="43"/>
      <c r="C624" s="43"/>
    </row>
    <row r="625">
      <c r="A625" s="23"/>
      <c r="B625" s="43"/>
      <c r="C625" s="43"/>
    </row>
    <row r="626">
      <c r="A626" s="23"/>
      <c r="B626" s="43"/>
      <c r="C626" s="43"/>
    </row>
    <row r="627">
      <c r="A627" s="23"/>
      <c r="B627" s="43"/>
      <c r="C627" s="43"/>
    </row>
    <row r="628">
      <c r="A628" s="23"/>
      <c r="B628" s="43"/>
      <c r="C628" s="43"/>
    </row>
    <row r="629">
      <c r="A629" s="23"/>
      <c r="B629" s="43"/>
      <c r="C629" s="43"/>
    </row>
    <row r="630">
      <c r="A630" s="23"/>
      <c r="B630" s="43"/>
      <c r="C630" s="43"/>
    </row>
    <row r="631">
      <c r="A631" s="23"/>
      <c r="B631" s="43"/>
      <c r="C631" s="43"/>
    </row>
    <row r="632">
      <c r="A632" s="23"/>
      <c r="B632" s="43"/>
      <c r="C632" s="43"/>
    </row>
    <row r="633">
      <c r="A633" s="23"/>
      <c r="B633" s="43"/>
      <c r="C633" s="43"/>
    </row>
    <row r="634">
      <c r="A634" s="23"/>
      <c r="B634" s="43"/>
      <c r="C634" s="43"/>
    </row>
    <row r="635">
      <c r="A635" s="23"/>
      <c r="B635" s="43"/>
      <c r="C635" s="43"/>
    </row>
    <row r="636">
      <c r="A636" s="23"/>
      <c r="B636" s="43"/>
      <c r="C636" s="43"/>
    </row>
    <row r="637">
      <c r="A637" s="23"/>
      <c r="B637" s="43"/>
      <c r="C637" s="43"/>
    </row>
    <row r="638">
      <c r="A638" s="23"/>
      <c r="B638" s="43"/>
      <c r="C638" s="43"/>
    </row>
    <row r="639">
      <c r="A639" s="23"/>
      <c r="B639" s="43"/>
      <c r="C639" s="43"/>
    </row>
    <row r="640">
      <c r="A640" s="23"/>
      <c r="B640" s="43"/>
      <c r="C640" s="43"/>
    </row>
    <row r="641">
      <c r="A641" s="23"/>
      <c r="B641" s="43"/>
      <c r="C641" s="43"/>
    </row>
    <row r="642">
      <c r="A642" s="23"/>
      <c r="B642" s="43"/>
      <c r="C642" s="43"/>
    </row>
    <row r="643">
      <c r="A643" s="23"/>
      <c r="B643" s="43"/>
      <c r="C643" s="43"/>
    </row>
    <row r="644">
      <c r="A644" s="23"/>
      <c r="B644" s="43"/>
      <c r="C644" s="43"/>
    </row>
    <row r="645">
      <c r="A645" s="23"/>
      <c r="B645" s="43"/>
      <c r="C645" s="43"/>
    </row>
    <row r="646">
      <c r="A646" s="23"/>
      <c r="B646" s="43"/>
      <c r="C646" s="43"/>
    </row>
    <row r="647">
      <c r="A647" s="23"/>
      <c r="B647" s="43"/>
      <c r="C647" s="43"/>
    </row>
    <row r="648">
      <c r="A648" s="23"/>
      <c r="B648" s="43"/>
      <c r="C648" s="43"/>
    </row>
    <row r="649">
      <c r="A649" s="23"/>
      <c r="B649" s="43"/>
      <c r="C649" s="43"/>
    </row>
    <row r="650">
      <c r="A650" s="23"/>
      <c r="B650" s="43"/>
      <c r="C650" s="43"/>
    </row>
    <row r="651">
      <c r="A651" s="23"/>
      <c r="B651" s="43"/>
      <c r="C651" s="43"/>
    </row>
    <row r="652">
      <c r="A652" s="23"/>
      <c r="B652" s="43"/>
      <c r="C652" s="43"/>
    </row>
    <row r="653">
      <c r="A653" s="23"/>
      <c r="B653" s="43"/>
      <c r="C653" s="43"/>
    </row>
    <row r="654">
      <c r="A654" s="23"/>
      <c r="B654" s="43"/>
      <c r="C654" s="43"/>
    </row>
    <row r="655">
      <c r="A655" s="23"/>
      <c r="B655" s="43"/>
      <c r="C655" s="43"/>
    </row>
    <row r="656">
      <c r="A656" s="23"/>
      <c r="B656" s="43"/>
      <c r="C656" s="43"/>
    </row>
    <row r="657">
      <c r="A657" s="23"/>
      <c r="B657" s="43"/>
      <c r="C657" s="43"/>
    </row>
    <row r="658">
      <c r="A658" s="23"/>
      <c r="B658" s="43"/>
      <c r="C658" s="43"/>
    </row>
    <row r="659">
      <c r="A659" s="23"/>
      <c r="B659" s="43"/>
      <c r="C659" s="43"/>
    </row>
    <row r="660">
      <c r="A660" s="23"/>
      <c r="B660" s="43"/>
      <c r="C660" s="43"/>
    </row>
    <row r="661">
      <c r="A661" s="23"/>
      <c r="B661" s="43"/>
      <c r="C661" s="43"/>
    </row>
    <row r="662">
      <c r="A662" s="23"/>
      <c r="B662" s="43"/>
      <c r="C662" s="43"/>
    </row>
    <row r="663">
      <c r="A663" s="23"/>
      <c r="B663" s="43"/>
      <c r="C663" s="43"/>
    </row>
    <row r="664">
      <c r="A664" s="23"/>
      <c r="B664" s="43"/>
      <c r="C664" s="43"/>
    </row>
    <row r="665">
      <c r="A665" s="23"/>
      <c r="B665" s="43"/>
      <c r="C665" s="43"/>
    </row>
    <row r="666">
      <c r="A666" s="23"/>
      <c r="B666" s="43"/>
      <c r="C666" s="43"/>
    </row>
    <row r="667">
      <c r="A667" s="23"/>
      <c r="B667" s="43"/>
      <c r="C667" s="43"/>
    </row>
    <row r="668">
      <c r="A668" s="23"/>
      <c r="B668" s="43"/>
      <c r="C668" s="43"/>
    </row>
    <row r="669">
      <c r="A669" s="23"/>
      <c r="B669" s="43"/>
      <c r="C669" s="43"/>
    </row>
    <row r="670">
      <c r="A670" s="23"/>
      <c r="B670" s="43"/>
      <c r="C670" s="43"/>
    </row>
    <row r="671">
      <c r="A671" s="23"/>
      <c r="B671" s="43"/>
      <c r="C671" s="43"/>
    </row>
    <row r="672">
      <c r="A672" s="23"/>
      <c r="B672" s="43"/>
      <c r="C672" s="43"/>
    </row>
    <row r="673">
      <c r="A673" s="23"/>
      <c r="B673" s="43"/>
      <c r="C673" s="43"/>
    </row>
    <row r="674">
      <c r="A674" s="23"/>
      <c r="B674" s="43"/>
      <c r="C674" s="43"/>
    </row>
    <row r="675">
      <c r="A675" s="23"/>
      <c r="B675" s="43"/>
      <c r="C675" s="43"/>
    </row>
    <row r="676">
      <c r="A676" s="23"/>
      <c r="B676" s="43"/>
      <c r="C676" s="43"/>
    </row>
    <row r="677">
      <c r="A677" s="23"/>
      <c r="B677" s="43"/>
      <c r="C677" s="43"/>
    </row>
    <row r="678">
      <c r="A678" s="23"/>
      <c r="B678" s="43"/>
      <c r="C678" s="43"/>
    </row>
    <row r="679">
      <c r="A679" s="23"/>
      <c r="B679" s="43"/>
      <c r="C679" s="43"/>
    </row>
    <row r="680">
      <c r="A680" s="23"/>
      <c r="B680" s="43"/>
      <c r="C680" s="43"/>
    </row>
    <row r="681">
      <c r="A681" s="23"/>
      <c r="B681" s="43"/>
      <c r="C681" s="43"/>
    </row>
    <row r="682">
      <c r="A682" s="23"/>
      <c r="B682" s="43"/>
      <c r="C682" s="43"/>
    </row>
    <row r="683">
      <c r="A683" s="23"/>
      <c r="B683" s="43"/>
      <c r="C683" s="43"/>
    </row>
    <row r="684">
      <c r="A684" s="23"/>
      <c r="B684" s="43"/>
      <c r="C684" s="43"/>
    </row>
    <row r="685">
      <c r="A685" s="23"/>
      <c r="B685" s="43"/>
      <c r="C685" s="43"/>
    </row>
    <row r="686">
      <c r="A686" s="23"/>
      <c r="B686" s="43"/>
      <c r="C686" s="43"/>
    </row>
    <row r="687">
      <c r="A687" s="23"/>
      <c r="B687" s="43"/>
      <c r="C687" s="43"/>
    </row>
    <row r="688">
      <c r="A688" s="23"/>
      <c r="B688" s="43"/>
      <c r="C688" s="43"/>
    </row>
    <row r="689">
      <c r="A689" s="23"/>
      <c r="B689" s="43"/>
      <c r="C689" s="43"/>
    </row>
    <row r="690">
      <c r="A690" s="23"/>
      <c r="B690" s="43"/>
      <c r="C690" s="43"/>
    </row>
    <row r="691">
      <c r="A691" s="23"/>
      <c r="B691" s="43"/>
      <c r="C691" s="43"/>
    </row>
    <row r="692">
      <c r="A692" s="23"/>
      <c r="B692" s="43"/>
      <c r="C692" s="43"/>
    </row>
    <row r="693">
      <c r="A693" s="23"/>
      <c r="B693" s="43"/>
      <c r="C693" s="43"/>
    </row>
    <row r="694">
      <c r="A694" s="23"/>
      <c r="B694" s="43"/>
      <c r="C694" s="43"/>
    </row>
    <row r="695">
      <c r="A695" s="23"/>
      <c r="B695" s="43"/>
      <c r="C695" s="43"/>
    </row>
    <row r="696">
      <c r="A696" s="23"/>
      <c r="B696" s="43"/>
      <c r="C696" s="43"/>
    </row>
    <row r="697">
      <c r="A697" s="23"/>
      <c r="B697" s="43"/>
      <c r="C697" s="43"/>
    </row>
    <row r="698">
      <c r="A698" s="23"/>
      <c r="B698" s="43"/>
      <c r="C698" s="43"/>
    </row>
    <row r="699">
      <c r="A699" s="23"/>
      <c r="B699" s="43"/>
      <c r="C699" s="43"/>
    </row>
    <row r="700">
      <c r="A700" s="23"/>
      <c r="B700" s="43"/>
      <c r="C700" s="43"/>
    </row>
    <row r="701">
      <c r="A701" s="23"/>
      <c r="B701" s="43"/>
      <c r="C701" s="43"/>
    </row>
    <row r="702">
      <c r="A702" s="23"/>
      <c r="B702" s="43"/>
      <c r="C702" s="43"/>
    </row>
    <row r="703">
      <c r="A703" s="23"/>
      <c r="B703" s="43"/>
      <c r="C703" s="43"/>
    </row>
    <row r="704">
      <c r="A704" s="23"/>
      <c r="B704" s="43"/>
      <c r="C704" s="43"/>
    </row>
    <row r="705">
      <c r="A705" s="23"/>
      <c r="B705" s="43"/>
      <c r="C705" s="43"/>
    </row>
    <row r="706">
      <c r="A706" s="23"/>
      <c r="B706" s="43"/>
      <c r="C706" s="43"/>
    </row>
    <row r="707">
      <c r="A707" s="23"/>
      <c r="B707" s="43"/>
      <c r="C707" s="43"/>
    </row>
    <row r="708">
      <c r="A708" s="23"/>
      <c r="B708" s="43"/>
      <c r="C708" s="43"/>
    </row>
    <row r="709">
      <c r="A709" s="23"/>
      <c r="B709" s="43"/>
      <c r="C709" s="43"/>
    </row>
    <row r="710">
      <c r="A710" s="23"/>
      <c r="B710" s="43"/>
      <c r="C710" s="43"/>
    </row>
    <row r="711">
      <c r="A711" s="23"/>
      <c r="B711" s="43"/>
      <c r="C711" s="43"/>
    </row>
    <row r="712">
      <c r="A712" s="23"/>
      <c r="B712" s="43"/>
      <c r="C712" s="43"/>
    </row>
    <row r="713">
      <c r="A713" s="23"/>
      <c r="B713" s="43"/>
      <c r="C713" s="43"/>
    </row>
    <row r="714">
      <c r="A714" s="23"/>
      <c r="B714" s="43"/>
      <c r="C714" s="43"/>
    </row>
    <row r="715">
      <c r="A715" s="23"/>
      <c r="B715" s="43"/>
      <c r="C715" s="43"/>
    </row>
    <row r="716">
      <c r="A716" s="23"/>
      <c r="B716" s="43"/>
      <c r="C716" s="43"/>
    </row>
    <row r="717">
      <c r="A717" s="23"/>
      <c r="B717" s="43"/>
      <c r="C717" s="43"/>
    </row>
    <row r="718">
      <c r="A718" s="23"/>
      <c r="B718" s="43"/>
      <c r="C718" s="43"/>
    </row>
    <row r="719">
      <c r="A719" s="23"/>
      <c r="B719" s="43"/>
      <c r="C719" s="43"/>
    </row>
    <row r="720">
      <c r="A720" s="23"/>
      <c r="B720" s="43"/>
      <c r="C720" s="43"/>
    </row>
    <row r="721">
      <c r="A721" s="23"/>
      <c r="B721" s="43"/>
      <c r="C721" s="43"/>
    </row>
    <row r="722">
      <c r="A722" s="23"/>
      <c r="B722" s="43"/>
      <c r="C722" s="43"/>
    </row>
    <row r="723">
      <c r="A723" s="23"/>
      <c r="B723" s="43"/>
      <c r="C723" s="43"/>
    </row>
    <row r="724">
      <c r="A724" s="23"/>
      <c r="B724" s="43"/>
      <c r="C724" s="43"/>
    </row>
    <row r="725">
      <c r="A725" s="23"/>
      <c r="B725" s="43"/>
      <c r="C725" s="43"/>
    </row>
    <row r="726">
      <c r="A726" s="23"/>
      <c r="B726" s="43"/>
      <c r="C726" s="43"/>
    </row>
    <row r="727">
      <c r="A727" s="23"/>
      <c r="B727" s="43"/>
      <c r="C727" s="43"/>
    </row>
    <row r="728">
      <c r="A728" s="23"/>
      <c r="B728" s="43"/>
      <c r="C728" s="43"/>
    </row>
    <row r="729">
      <c r="A729" s="23"/>
      <c r="B729" s="43"/>
      <c r="C729" s="43"/>
    </row>
    <row r="730">
      <c r="A730" s="23"/>
      <c r="B730" s="43"/>
      <c r="C730" s="43"/>
    </row>
    <row r="731">
      <c r="A731" s="23"/>
      <c r="B731" s="43"/>
      <c r="C731" s="43"/>
    </row>
    <row r="732">
      <c r="A732" s="23"/>
      <c r="B732" s="43"/>
      <c r="C732" s="43"/>
    </row>
    <row r="733">
      <c r="A733" s="23"/>
      <c r="B733" s="43"/>
      <c r="C733" s="43"/>
    </row>
    <row r="734">
      <c r="A734" s="23"/>
      <c r="B734" s="43"/>
      <c r="C734" s="43"/>
    </row>
    <row r="735">
      <c r="A735" s="23"/>
      <c r="B735" s="43"/>
      <c r="C735" s="43"/>
    </row>
    <row r="736">
      <c r="A736" s="23"/>
      <c r="B736" s="43"/>
      <c r="C736" s="43"/>
    </row>
    <row r="737">
      <c r="A737" s="23"/>
      <c r="B737" s="43"/>
      <c r="C737" s="43"/>
    </row>
    <row r="738">
      <c r="A738" s="23"/>
      <c r="B738" s="43"/>
      <c r="C738" s="43"/>
    </row>
    <row r="739">
      <c r="A739" s="23"/>
      <c r="B739" s="43"/>
      <c r="C739" s="43"/>
    </row>
    <row r="740">
      <c r="A740" s="23"/>
      <c r="B740" s="43"/>
      <c r="C740" s="43"/>
    </row>
    <row r="741">
      <c r="A741" s="23"/>
      <c r="B741" s="43"/>
      <c r="C741" s="43"/>
    </row>
    <row r="742">
      <c r="A742" s="23"/>
      <c r="B742" s="43"/>
      <c r="C742" s="43"/>
    </row>
    <row r="743">
      <c r="A743" s="23"/>
      <c r="B743" s="43"/>
      <c r="C743" s="43"/>
    </row>
    <row r="744">
      <c r="A744" s="23"/>
      <c r="B744" s="43"/>
      <c r="C744" s="43"/>
    </row>
    <row r="745">
      <c r="A745" s="23"/>
      <c r="B745" s="43"/>
      <c r="C745" s="43"/>
    </row>
    <row r="746">
      <c r="A746" s="23"/>
      <c r="B746" s="43"/>
      <c r="C746" s="43"/>
    </row>
    <row r="747">
      <c r="A747" s="23"/>
      <c r="B747" s="43"/>
      <c r="C747" s="43"/>
    </row>
    <row r="748">
      <c r="A748" s="23"/>
      <c r="B748" s="43"/>
      <c r="C748" s="43"/>
    </row>
    <row r="749">
      <c r="A749" s="23"/>
      <c r="B749" s="43"/>
      <c r="C749" s="43"/>
    </row>
    <row r="750">
      <c r="A750" s="23"/>
      <c r="B750" s="43"/>
      <c r="C750" s="43"/>
    </row>
    <row r="751">
      <c r="A751" s="23"/>
      <c r="B751" s="43"/>
      <c r="C751" s="43"/>
    </row>
    <row r="752">
      <c r="A752" s="23"/>
      <c r="B752" s="43"/>
      <c r="C752" s="43"/>
    </row>
    <row r="753">
      <c r="A753" s="23"/>
      <c r="B753" s="43"/>
      <c r="C753" s="43"/>
    </row>
    <row r="754">
      <c r="A754" s="23"/>
      <c r="B754" s="43"/>
      <c r="C754" s="43"/>
    </row>
    <row r="755">
      <c r="A755" s="23"/>
      <c r="B755" s="43"/>
      <c r="C755" s="43"/>
    </row>
    <row r="756">
      <c r="A756" s="23"/>
      <c r="B756" s="43"/>
      <c r="C756" s="43"/>
    </row>
    <row r="757">
      <c r="A757" s="23"/>
      <c r="B757" s="43"/>
      <c r="C757" s="43"/>
    </row>
    <row r="758">
      <c r="A758" s="23"/>
      <c r="B758" s="43"/>
      <c r="C758" s="43"/>
    </row>
    <row r="759">
      <c r="A759" s="23"/>
      <c r="B759" s="43"/>
      <c r="C759" s="43"/>
    </row>
    <row r="760">
      <c r="A760" s="23"/>
      <c r="B760" s="43"/>
      <c r="C760" s="43"/>
    </row>
    <row r="761">
      <c r="A761" s="23"/>
      <c r="B761" s="43"/>
      <c r="C761" s="43"/>
    </row>
    <row r="762">
      <c r="A762" s="23"/>
      <c r="B762" s="43"/>
      <c r="C762" s="43"/>
    </row>
    <row r="763">
      <c r="A763" s="23"/>
      <c r="B763" s="43"/>
      <c r="C763" s="43"/>
    </row>
    <row r="764">
      <c r="A764" s="23"/>
      <c r="B764" s="43"/>
      <c r="C764" s="43"/>
    </row>
    <row r="765">
      <c r="A765" s="23"/>
      <c r="B765" s="43"/>
      <c r="C765" s="43"/>
    </row>
    <row r="766">
      <c r="A766" s="23"/>
      <c r="B766" s="43"/>
      <c r="C766" s="43"/>
    </row>
    <row r="767">
      <c r="A767" s="23"/>
      <c r="B767" s="43"/>
      <c r="C767" s="43"/>
    </row>
    <row r="768">
      <c r="A768" s="23"/>
      <c r="B768" s="43"/>
      <c r="C768" s="43"/>
    </row>
    <row r="769">
      <c r="A769" s="23"/>
      <c r="B769" s="43"/>
      <c r="C769" s="43"/>
    </row>
    <row r="770">
      <c r="A770" s="23"/>
      <c r="B770" s="43"/>
      <c r="C770" s="43"/>
    </row>
    <row r="771">
      <c r="A771" s="23"/>
      <c r="B771" s="43"/>
      <c r="C771" s="43"/>
    </row>
    <row r="772">
      <c r="A772" s="23"/>
      <c r="B772" s="43"/>
      <c r="C772" s="43"/>
    </row>
    <row r="773">
      <c r="A773" s="23"/>
      <c r="B773" s="43"/>
      <c r="C773" s="43"/>
    </row>
    <row r="774">
      <c r="A774" s="23"/>
      <c r="B774" s="43"/>
      <c r="C774" s="43"/>
    </row>
    <row r="775">
      <c r="A775" s="23"/>
      <c r="B775" s="43"/>
      <c r="C775" s="43"/>
    </row>
    <row r="776">
      <c r="A776" s="23"/>
      <c r="B776" s="43"/>
      <c r="C776" s="43"/>
    </row>
    <row r="777">
      <c r="A777" s="23"/>
      <c r="B777" s="43"/>
      <c r="C777" s="43"/>
    </row>
    <row r="778">
      <c r="A778" s="23"/>
      <c r="B778" s="43"/>
      <c r="C778" s="43"/>
    </row>
    <row r="779">
      <c r="A779" s="23"/>
      <c r="B779" s="43"/>
      <c r="C779" s="43"/>
    </row>
    <row r="780">
      <c r="A780" s="23"/>
      <c r="B780" s="43"/>
      <c r="C780" s="43"/>
    </row>
    <row r="781">
      <c r="A781" s="23"/>
      <c r="B781" s="43"/>
      <c r="C781" s="43"/>
    </row>
    <row r="782">
      <c r="A782" s="23"/>
      <c r="B782" s="43"/>
      <c r="C782" s="43"/>
    </row>
    <row r="783">
      <c r="A783" s="23"/>
      <c r="B783" s="43"/>
      <c r="C783" s="43"/>
    </row>
    <row r="784">
      <c r="A784" s="23"/>
      <c r="B784" s="43"/>
      <c r="C784" s="43"/>
    </row>
    <row r="785">
      <c r="A785" s="23"/>
      <c r="B785" s="43"/>
      <c r="C785" s="43"/>
    </row>
    <row r="786">
      <c r="A786" s="23"/>
      <c r="B786" s="43"/>
      <c r="C786" s="43"/>
    </row>
    <row r="787">
      <c r="A787" s="23"/>
      <c r="B787" s="43"/>
      <c r="C787" s="43"/>
    </row>
    <row r="788">
      <c r="A788" s="23"/>
      <c r="B788" s="43"/>
      <c r="C788" s="43"/>
    </row>
    <row r="789">
      <c r="A789" s="23"/>
      <c r="B789" s="43"/>
      <c r="C789" s="43"/>
    </row>
    <row r="790">
      <c r="A790" s="23"/>
      <c r="B790" s="43"/>
      <c r="C790" s="43"/>
    </row>
    <row r="791">
      <c r="A791" s="23"/>
      <c r="B791" s="43"/>
      <c r="C791" s="43"/>
    </row>
    <row r="792">
      <c r="A792" s="23"/>
      <c r="B792" s="43"/>
      <c r="C792" s="43"/>
    </row>
    <row r="793">
      <c r="A793" s="23"/>
      <c r="B793" s="43"/>
      <c r="C793" s="43"/>
    </row>
    <row r="794">
      <c r="A794" s="23"/>
      <c r="B794" s="43"/>
      <c r="C794" s="43"/>
    </row>
    <row r="795">
      <c r="A795" s="23"/>
      <c r="B795" s="43"/>
      <c r="C795" s="43"/>
    </row>
    <row r="796">
      <c r="A796" s="23"/>
      <c r="B796" s="43"/>
      <c r="C796" s="43"/>
    </row>
    <row r="797">
      <c r="A797" s="23"/>
      <c r="B797" s="43"/>
      <c r="C797" s="43"/>
    </row>
    <row r="798">
      <c r="A798" s="23"/>
      <c r="B798" s="43"/>
      <c r="C798" s="43"/>
    </row>
    <row r="799">
      <c r="A799" s="23"/>
      <c r="B799" s="43"/>
      <c r="C799" s="43"/>
    </row>
    <row r="800">
      <c r="A800" s="23"/>
      <c r="B800" s="43"/>
      <c r="C800" s="43"/>
    </row>
    <row r="801">
      <c r="A801" s="23"/>
      <c r="B801" s="43"/>
      <c r="C801" s="43"/>
    </row>
    <row r="802">
      <c r="A802" s="23"/>
      <c r="B802" s="43"/>
      <c r="C802" s="43"/>
    </row>
    <row r="803">
      <c r="A803" s="23"/>
      <c r="B803" s="43"/>
      <c r="C803" s="43"/>
    </row>
    <row r="804">
      <c r="A804" s="23"/>
      <c r="B804" s="43"/>
      <c r="C804" s="43"/>
    </row>
    <row r="805">
      <c r="A805" s="23"/>
      <c r="B805" s="43"/>
      <c r="C805" s="43"/>
    </row>
    <row r="806">
      <c r="A806" s="23"/>
      <c r="B806" s="43"/>
      <c r="C806" s="43"/>
    </row>
    <row r="807">
      <c r="A807" s="23"/>
      <c r="B807" s="43"/>
      <c r="C807" s="43"/>
    </row>
    <row r="808">
      <c r="A808" s="23"/>
      <c r="B808" s="43"/>
      <c r="C808" s="43"/>
    </row>
    <row r="809">
      <c r="A809" s="23"/>
      <c r="B809" s="43"/>
      <c r="C809" s="43"/>
    </row>
    <row r="810">
      <c r="A810" s="23"/>
      <c r="B810" s="43"/>
      <c r="C810" s="43"/>
    </row>
    <row r="811">
      <c r="A811" s="23"/>
      <c r="B811" s="43"/>
      <c r="C811" s="43"/>
    </row>
    <row r="812">
      <c r="A812" s="23"/>
      <c r="B812" s="43"/>
      <c r="C812" s="43"/>
    </row>
    <row r="813">
      <c r="A813" s="23"/>
      <c r="B813" s="43"/>
      <c r="C813" s="43"/>
    </row>
    <row r="814">
      <c r="A814" s="23"/>
      <c r="B814" s="43"/>
      <c r="C814" s="43"/>
    </row>
    <row r="815">
      <c r="A815" s="23"/>
      <c r="B815" s="43"/>
      <c r="C815" s="43"/>
    </row>
    <row r="816">
      <c r="A816" s="23"/>
      <c r="B816" s="43"/>
      <c r="C816" s="43"/>
    </row>
    <row r="817">
      <c r="A817" s="23"/>
      <c r="B817" s="43"/>
      <c r="C817" s="43"/>
    </row>
    <row r="818">
      <c r="A818" s="23"/>
      <c r="B818" s="43"/>
      <c r="C818" s="43"/>
    </row>
    <row r="819">
      <c r="A819" s="23"/>
      <c r="B819" s="43"/>
      <c r="C819" s="43"/>
    </row>
    <row r="820">
      <c r="A820" s="23"/>
      <c r="B820" s="43"/>
      <c r="C820" s="43"/>
    </row>
    <row r="821">
      <c r="A821" s="23"/>
      <c r="B821" s="43"/>
      <c r="C821" s="43"/>
    </row>
    <row r="822">
      <c r="A822" s="23"/>
      <c r="B822" s="43"/>
      <c r="C822" s="43"/>
    </row>
    <row r="823">
      <c r="A823" s="23"/>
      <c r="B823" s="43"/>
      <c r="C823" s="43"/>
    </row>
    <row r="824">
      <c r="A824" s="23"/>
      <c r="B824" s="43"/>
      <c r="C824" s="43"/>
    </row>
    <row r="825">
      <c r="A825" s="23"/>
      <c r="B825" s="43"/>
      <c r="C825" s="43"/>
    </row>
    <row r="826">
      <c r="A826" s="23"/>
      <c r="B826" s="43"/>
      <c r="C826" s="43"/>
    </row>
    <row r="827">
      <c r="A827" s="23"/>
      <c r="B827" s="43"/>
      <c r="C827" s="43"/>
    </row>
    <row r="828">
      <c r="A828" s="23"/>
      <c r="B828" s="43"/>
      <c r="C828" s="43"/>
    </row>
    <row r="829">
      <c r="A829" s="23"/>
      <c r="B829" s="43"/>
      <c r="C829" s="43"/>
    </row>
    <row r="830">
      <c r="A830" s="23"/>
      <c r="B830" s="43"/>
      <c r="C830" s="43"/>
    </row>
    <row r="831">
      <c r="A831" s="23"/>
      <c r="B831" s="43"/>
      <c r="C831" s="43"/>
    </row>
    <row r="832">
      <c r="A832" s="23"/>
      <c r="B832" s="43"/>
      <c r="C832" s="43"/>
    </row>
    <row r="833">
      <c r="A833" s="23"/>
      <c r="B833" s="43"/>
      <c r="C833" s="43"/>
    </row>
    <row r="834">
      <c r="A834" s="23"/>
      <c r="B834" s="43"/>
      <c r="C834" s="43"/>
    </row>
    <row r="835">
      <c r="A835" s="23"/>
      <c r="B835" s="43"/>
      <c r="C835" s="43"/>
    </row>
    <row r="836">
      <c r="A836" s="23"/>
      <c r="B836" s="43"/>
      <c r="C836" s="43"/>
    </row>
    <row r="837">
      <c r="A837" s="23"/>
      <c r="B837" s="43"/>
      <c r="C837" s="43"/>
    </row>
    <row r="838">
      <c r="A838" s="23"/>
      <c r="B838" s="43"/>
      <c r="C838" s="43"/>
    </row>
    <row r="839">
      <c r="A839" s="23"/>
      <c r="B839" s="43"/>
      <c r="C839" s="43"/>
    </row>
    <row r="840">
      <c r="A840" s="23"/>
      <c r="B840" s="43"/>
      <c r="C840" s="43"/>
    </row>
    <row r="841">
      <c r="A841" s="23"/>
      <c r="B841" s="43"/>
      <c r="C841" s="43"/>
    </row>
    <row r="842">
      <c r="A842" s="23"/>
      <c r="B842" s="43"/>
      <c r="C842" s="43"/>
    </row>
    <row r="843">
      <c r="A843" s="23"/>
      <c r="B843" s="43"/>
      <c r="C843" s="43"/>
    </row>
    <row r="844">
      <c r="A844" s="23"/>
      <c r="B844" s="43"/>
      <c r="C844" s="43"/>
    </row>
    <row r="845">
      <c r="A845" s="23"/>
      <c r="B845" s="43"/>
      <c r="C845" s="43"/>
    </row>
    <row r="846">
      <c r="A846" s="23"/>
      <c r="B846" s="43"/>
      <c r="C846" s="43"/>
    </row>
    <row r="847">
      <c r="A847" s="23"/>
      <c r="B847" s="43"/>
      <c r="C847" s="43"/>
    </row>
    <row r="848">
      <c r="A848" s="23"/>
      <c r="B848" s="43"/>
      <c r="C848" s="43"/>
    </row>
    <row r="849">
      <c r="A849" s="23"/>
      <c r="B849" s="43"/>
      <c r="C849" s="43"/>
    </row>
    <row r="850">
      <c r="A850" s="23"/>
      <c r="B850" s="43"/>
      <c r="C850" s="43"/>
    </row>
    <row r="851">
      <c r="A851" s="23"/>
      <c r="B851" s="43"/>
      <c r="C851" s="43"/>
    </row>
    <row r="852">
      <c r="A852" s="23"/>
      <c r="B852" s="43"/>
      <c r="C852" s="43"/>
    </row>
    <row r="853">
      <c r="A853" s="23"/>
      <c r="B853" s="43"/>
      <c r="C853" s="43"/>
    </row>
    <row r="854">
      <c r="A854" s="23"/>
      <c r="B854" s="43"/>
      <c r="C854" s="43"/>
    </row>
    <row r="855">
      <c r="A855" s="23"/>
      <c r="B855" s="43"/>
      <c r="C855" s="43"/>
    </row>
    <row r="856">
      <c r="A856" s="23"/>
      <c r="B856" s="43"/>
      <c r="C856" s="43"/>
    </row>
    <row r="857">
      <c r="A857" s="23"/>
      <c r="B857" s="43"/>
      <c r="C857" s="43"/>
    </row>
    <row r="858">
      <c r="A858" s="23"/>
      <c r="B858" s="43"/>
      <c r="C858" s="43"/>
    </row>
    <row r="859">
      <c r="A859" s="23"/>
      <c r="B859" s="43"/>
      <c r="C859" s="43"/>
    </row>
    <row r="860">
      <c r="A860" s="23"/>
      <c r="B860" s="43"/>
      <c r="C860" s="43"/>
    </row>
    <row r="861">
      <c r="A861" s="23"/>
      <c r="B861" s="43"/>
      <c r="C861" s="43"/>
    </row>
    <row r="862">
      <c r="A862" s="23"/>
      <c r="B862" s="43"/>
      <c r="C862" s="43"/>
    </row>
    <row r="863">
      <c r="A863" s="23"/>
      <c r="B863" s="43"/>
      <c r="C863" s="43"/>
    </row>
    <row r="864">
      <c r="A864" s="23"/>
      <c r="B864" s="43"/>
      <c r="C864" s="43"/>
    </row>
    <row r="865">
      <c r="A865" s="23"/>
      <c r="B865" s="43"/>
      <c r="C865" s="43"/>
    </row>
    <row r="866">
      <c r="A866" s="23"/>
      <c r="B866" s="43"/>
      <c r="C866" s="43"/>
    </row>
    <row r="867">
      <c r="A867" s="23"/>
      <c r="B867" s="43"/>
      <c r="C867" s="43"/>
    </row>
    <row r="868">
      <c r="A868" s="23"/>
      <c r="B868" s="43"/>
      <c r="C868" s="43"/>
    </row>
    <row r="869">
      <c r="A869" s="23"/>
      <c r="B869" s="43"/>
      <c r="C869" s="43"/>
    </row>
    <row r="870">
      <c r="A870" s="23"/>
      <c r="B870" s="43"/>
      <c r="C870" s="43"/>
    </row>
    <row r="871">
      <c r="A871" s="23"/>
      <c r="B871" s="43"/>
      <c r="C871" s="43"/>
    </row>
    <row r="872">
      <c r="A872" s="23"/>
      <c r="B872" s="43"/>
      <c r="C872" s="43"/>
    </row>
    <row r="873">
      <c r="A873" s="23"/>
      <c r="B873" s="43"/>
      <c r="C873" s="43"/>
    </row>
    <row r="874">
      <c r="A874" s="23"/>
      <c r="B874" s="43"/>
      <c r="C874" s="43"/>
    </row>
    <row r="875">
      <c r="A875" s="23"/>
      <c r="B875" s="43"/>
      <c r="C875" s="43"/>
    </row>
    <row r="876">
      <c r="A876" s="23"/>
      <c r="B876" s="43"/>
      <c r="C876" s="43"/>
    </row>
    <row r="877">
      <c r="A877" s="23"/>
      <c r="B877" s="43"/>
      <c r="C877" s="43"/>
    </row>
    <row r="878">
      <c r="A878" s="23"/>
      <c r="B878" s="43"/>
      <c r="C878" s="43"/>
    </row>
    <row r="879">
      <c r="A879" s="23"/>
      <c r="B879" s="43"/>
      <c r="C879" s="43"/>
    </row>
    <row r="880">
      <c r="A880" s="23"/>
      <c r="B880" s="43"/>
      <c r="C880" s="43"/>
    </row>
    <row r="881">
      <c r="A881" s="23"/>
      <c r="B881" s="43"/>
      <c r="C881" s="43"/>
    </row>
    <row r="882">
      <c r="A882" s="23"/>
      <c r="B882" s="43"/>
      <c r="C882" s="43"/>
    </row>
    <row r="883">
      <c r="A883" s="23"/>
      <c r="B883" s="43"/>
      <c r="C883" s="43"/>
    </row>
    <row r="884">
      <c r="A884" s="23"/>
      <c r="B884" s="43"/>
      <c r="C884" s="43"/>
    </row>
    <row r="885">
      <c r="A885" s="23"/>
      <c r="B885" s="43"/>
      <c r="C885" s="43"/>
    </row>
    <row r="886">
      <c r="A886" s="23"/>
      <c r="B886" s="43"/>
      <c r="C886" s="43"/>
    </row>
    <row r="887">
      <c r="A887" s="23"/>
      <c r="B887" s="43"/>
      <c r="C887" s="43"/>
    </row>
    <row r="888">
      <c r="A888" s="23"/>
      <c r="B888" s="43"/>
      <c r="C888" s="43"/>
    </row>
    <row r="889">
      <c r="A889" s="23"/>
      <c r="B889" s="43"/>
      <c r="C889" s="43"/>
    </row>
    <row r="890">
      <c r="A890" s="23"/>
      <c r="B890" s="43"/>
      <c r="C890" s="43"/>
    </row>
    <row r="891">
      <c r="A891" s="23"/>
      <c r="B891" s="43"/>
      <c r="C891" s="43"/>
    </row>
    <row r="892">
      <c r="A892" s="23"/>
      <c r="B892" s="43"/>
      <c r="C892" s="43"/>
    </row>
    <row r="893">
      <c r="A893" s="23"/>
      <c r="B893" s="43"/>
      <c r="C893" s="43"/>
    </row>
    <row r="894">
      <c r="A894" s="23"/>
      <c r="B894" s="43"/>
      <c r="C894" s="43"/>
    </row>
    <row r="895">
      <c r="A895" s="23"/>
      <c r="B895" s="43"/>
      <c r="C895" s="43"/>
    </row>
    <row r="896">
      <c r="A896" s="23"/>
      <c r="B896" s="43"/>
      <c r="C896" s="43"/>
    </row>
    <row r="897">
      <c r="A897" s="23"/>
      <c r="B897" s="43"/>
      <c r="C897" s="43"/>
    </row>
    <row r="898">
      <c r="A898" s="23"/>
      <c r="B898" s="43"/>
      <c r="C898" s="43"/>
    </row>
    <row r="899">
      <c r="A899" s="23"/>
      <c r="B899" s="43"/>
      <c r="C899" s="43"/>
    </row>
    <row r="900">
      <c r="A900" s="23"/>
      <c r="B900" s="43"/>
      <c r="C900" s="43"/>
    </row>
    <row r="901">
      <c r="A901" s="23"/>
      <c r="B901" s="43"/>
      <c r="C901" s="43"/>
    </row>
    <row r="902">
      <c r="A902" s="23"/>
      <c r="B902" s="43"/>
      <c r="C902" s="43"/>
    </row>
    <row r="903">
      <c r="A903" s="23"/>
      <c r="B903" s="43"/>
      <c r="C903" s="43"/>
    </row>
    <row r="904">
      <c r="A904" s="23"/>
      <c r="B904" s="43"/>
      <c r="C904" s="43"/>
    </row>
    <row r="905">
      <c r="A905" s="23"/>
      <c r="B905" s="43"/>
      <c r="C905" s="43"/>
    </row>
    <row r="906">
      <c r="A906" s="23"/>
      <c r="B906" s="43"/>
      <c r="C906" s="43"/>
    </row>
    <row r="907">
      <c r="A907" s="23"/>
      <c r="B907" s="43"/>
      <c r="C907" s="43"/>
    </row>
    <row r="908">
      <c r="A908" s="23"/>
      <c r="B908" s="43"/>
      <c r="C908" s="43"/>
    </row>
    <row r="909">
      <c r="A909" s="23"/>
      <c r="B909" s="43"/>
      <c r="C909" s="43"/>
    </row>
    <row r="910">
      <c r="A910" s="23"/>
      <c r="B910" s="43"/>
      <c r="C910" s="43"/>
    </row>
    <row r="911">
      <c r="A911" s="23"/>
      <c r="B911" s="43"/>
      <c r="C911" s="43"/>
    </row>
    <row r="912">
      <c r="A912" s="23"/>
      <c r="B912" s="43"/>
      <c r="C912" s="43"/>
    </row>
    <row r="913">
      <c r="A913" s="23"/>
      <c r="B913" s="43"/>
      <c r="C913" s="43"/>
    </row>
    <row r="914">
      <c r="A914" s="23"/>
      <c r="B914" s="43"/>
      <c r="C914" s="43"/>
    </row>
    <row r="915">
      <c r="A915" s="23"/>
      <c r="B915" s="43"/>
      <c r="C915" s="43"/>
    </row>
    <row r="916">
      <c r="A916" s="23"/>
      <c r="B916" s="43"/>
      <c r="C916" s="43"/>
    </row>
    <row r="917">
      <c r="A917" s="23"/>
      <c r="B917" s="43"/>
      <c r="C917" s="43"/>
    </row>
    <row r="918">
      <c r="A918" s="23"/>
      <c r="B918" s="43"/>
      <c r="C918" s="43"/>
    </row>
    <row r="919">
      <c r="A919" s="23"/>
      <c r="B919" s="43"/>
      <c r="C919" s="43"/>
    </row>
    <row r="920">
      <c r="A920" s="23"/>
      <c r="B920" s="43"/>
      <c r="C920" s="43"/>
    </row>
    <row r="921">
      <c r="A921" s="23"/>
      <c r="B921" s="43"/>
      <c r="C921" s="43"/>
    </row>
    <row r="922">
      <c r="A922" s="23"/>
      <c r="B922" s="43"/>
      <c r="C922" s="43"/>
    </row>
    <row r="923">
      <c r="A923" s="23"/>
      <c r="B923" s="43"/>
      <c r="C923" s="43"/>
    </row>
    <row r="924">
      <c r="A924" s="23"/>
      <c r="B924" s="43"/>
      <c r="C924" s="43"/>
    </row>
    <row r="925">
      <c r="A925" s="23"/>
      <c r="B925" s="43"/>
      <c r="C925" s="43"/>
    </row>
    <row r="926">
      <c r="A926" s="23"/>
      <c r="B926" s="43"/>
      <c r="C926" s="43"/>
    </row>
    <row r="927">
      <c r="A927" s="23"/>
      <c r="B927" s="43"/>
      <c r="C927" s="43"/>
    </row>
    <row r="928">
      <c r="A928" s="23"/>
      <c r="B928" s="43"/>
      <c r="C928" s="43"/>
    </row>
    <row r="929">
      <c r="A929" s="23"/>
      <c r="B929" s="43"/>
      <c r="C929" s="43"/>
    </row>
    <row r="930">
      <c r="A930" s="23"/>
      <c r="B930" s="43"/>
      <c r="C930" s="43"/>
    </row>
    <row r="931">
      <c r="A931" s="23"/>
      <c r="B931" s="43"/>
      <c r="C931" s="43"/>
    </row>
    <row r="932">
      <c r="A932" s="23"/>
      <c r="B932" s="43"/>
      <c r="C932" s="43"/>
    </row>
    <row r="933">
      <c r="A933" s="23"/>
      <c r="B933" s="43"/>
      <c r="C933" s="43"/>
    </row>
    <row r="934">
      <c r="A934" s="23"/>
      <c r="B934" s="43"/>
      <c r="C934" s="43"/>
    </row>
    <row r="935">
      <c r="A935" s="23"/>
      <c r="B935" s="43"/>
      <c r="C935" s="43"/>
    </row>
    <row r="936">
      <c r="A936" s="23"/>
      <c r="B936" s="43"/>
      <c r="C936" s="43"/>
    </row>
    <row r="937">
      <c r="A937" s="23"/>
      <c r="B937" s="43"/>
      <c r="C937" s="43"/>
    </row>
    <row r="938">
      <c r="A938" s="23"/>
      <c r="B938" s="43"/>
      <c r="C938" s="43"/>
    </row>
    <row r="939">
      <c r="A939" s="23"/>
      <c r="B939" s="43"/>
      <c r="C939" s="43"/>
    </row>
    <row r="940">
      <c r="A940" s="23"/>
      <c r="B940" s="43"/>
      <c r="C940" s="43"/>
    </row>
    <row r="941">
      <c r="A941" s="23"/>
      <c r="B941" s="43"/>
      <c r="C941" s="43"/>
    </row>
    <row r="942">
      <c r="A942" s="23"/>
      <c r="B942" s="43"/>
      <c r="C942" s="43"/>
    </row>
    <row r="943">
      <c r="A943" s="23"/>
      <c r="B943" s="43"/>
      <c r="C943" s="43"/>
    </row>
    <row r="944">
      <c r="A944" s="23"/>
      <c r="B944" s="43"/>
      <c r="C944" s="43"/>
    </row>
    <row r="945">
      <c r="A945" s="23"/>
      <c r="B945" s="43"/>
      <c r="C945" s="43"/>
    </row>
    <row r="946">
      <c r="A946" s="23"/>
      <c r="B946" s="43"/>
      <c r="C946" s="43"/>
    </row>
    <row r="947">
      <c r="A947" s="23"/>
      <c r="B947" s="43"/>
      <c r="C947" s="43"/>
    </row>
    <row r="948">
      <c r="A948" s="23"/>
      <c r="B948" s="43"/>
      <c r="C948" s="43"/>
    </row>
    <row r="949">
      <c r="A949" s="23"/>
      <c r="B949" s="43"/>
      <c r="C949" s="43"/>
    </row>
    <row r="950">
      <c r="A950" s="23"/>
      <c r="B950" s="43"/>
      <c r="C950" s="43"/>
    </row>
    <row r="951">
      <c r="A951" s="23"/>
      <c r="B951" s="43"/>
      <c r="C951" s="43"/>
    </row>
    <row r="952">
      <c r="A952" s="23"/>
      <c r="B952" s="43"/>
      <c r="C952" s="43"/>
    </row>
    <row r="953">
      <c r="A953" s="23"/>
      <c r="B953" s="43"/>
      <c r="C953" s="43"/>
    </row>
    <row r="954">
      <c r="A954" s="23"/>
      <c r="B954" s="43"/>
      <c r="C954" s="43"/>
    </row>
    <row r="955">
      <c r="A955" s="23"/>
      <c r="B955" s="43"/>
      <c r="C955" s="43"/>
    </row>
    <row r="956">
      <c r="A956" s="23"/>
      <c r="B956" s="43"/>
      <c r="C956" s="43"/>
    </row>
    <row r="957">
      <c r="A957" s="23"/>
      <c r="B957" s="43"/>
      <c r="C957" s="43"/>
    </row>
    <row r="958">
      <c r="A958" s="23"/>
      <c r="B958" s="43"/>
      <c r="C958" s="43"/>
    </row>
    <row r="959">
      <c r="A959" s="23"/>
      <c r="B959" s="43"/>
      <c r="C959" s="43"/>
    </row>
    <row r="960">
      <c r="A960" s="23"/>
      <c r="B960" s="43"/>
      <c r="C960" s="43"/>
    </row>
    <row r="961">
      <c r="A961" s="23"/>
      <c r="B961" s="43"/>
      <c r="C961" s="43"/>
    </row>
    <row r="962">
      <c r="A962" s="23"/>
      <c r="B962" s="43"/>
      <c r="C962" s="43"/>
    </row>
    <row r="963">
      <c r="A963" s="23"/>
      <c r="B963" s="43"/>
      <c r="C963" s="43"/>
    </row>
    <row r="964">
      <c r="A964" s="23"/>
      <c r="B964" s="43"/>
      <c r="C964" s="43"/>
    </row>
    <row r="965">
      <c r="A965" s="23"/>
      <c r="B965" s="43"/>
      <c r="C965" s="43"/>
    </row>
    <row r="966">
      <c r="A966" s="23"/>
      <c r="B966" s="43"/>
      <c r="C966" s="43"/>
    </row>
    <row r="967">
      <c r="A967" s="23"/>
      <c r="B967" s="43"/>
      <c r="C967" s="43"/>
    </row>
    <row r="968">
      <c r="A968" s="23"/>
      <c r="B968" s="43"/>
      <c r="C968" s="43"/>
    </row>
    <row r="969">
      <c r="A969" s="23"/>
      <c r="B969" s="43"/>
      <c r="C969" s="43"/>
    </row>
    <row r="970">
      <c r="A970" s="23"/>
      <c r="B970" s="43"/>
      <c r="C970" s="43"/>
    </row>
    <row r="971">
      <c r="A971" s="23"/>
      <c r="B971" s="43"/>
      <c r="C971" s="43"/>
    </row>
    <row r="972">
      <c r="A972" s="23"/>
      <c r="B972" s="43"/>
      <c r="C972" s="43"/>
    </row>
    <row r="973">
      <c r="A973" s="23"/>
      <c r="B973" s="43"/>
      <c r="C973" s="43"/>
    </row>
    <row r="974">
      <c r="A974" s="23"/>
      <c r="B974" s="43"/>
      <c r="C974" s="43"/>
    </row>
    <row r="975">
      <c r="A975" s="23"/>
      <c r="B975" s="43"/>
      <c r="C975" s="43"/>
    </row>
    <row r="976">
      <c r="A976" s="23"/>
      <c r="B976" s="43"/>
      <c r="C976" s="43"/>
    </row>
    <row r="977">
      <c r="A977" s="23"/>
      <c r="B977" s="43"/>
      <c r="C977" s="43"/>
    </row>
    <row r="978">
      <c r="A978" s="23"/>
      <c r="B978" s="43"/>
      <c r="C978" s="43"/>
    </row>
    <row r="979">
      <c r="A979" s="23"/>
      <c r="B979" s="43"/>
      <c r="C979" s="43"/>
    </row>
    <row r="980">
      <c r="A980" s="23"/>
      <c r="B980" s="43"/>
      <c r="C980" s="43"/>
    </row>
    <row r="981">
      <c r="A981" s="23"/>
      <c r="B981" s="43"/>
      <c r="C981" s="43"/>
    </row>
    <row r="982">
      <c r="A982" s="23"/>
      <c r="B982" s="43"/>
      <c r="C982" s="43"/>
    </row>
    <row r="983">
      <c r="A983" s="23"/>
      <c r="B983" s="43"/>
      <c r="C983" s="43"/>
    </row>
    <row r="984">
      <c r="A984" s="23"/>
      <c r="B984" s="43"/>
      <c r="C984" s="43"/>
    </row>
    <row r="985">
      <c r="A985" s="23"/>
      <c r="B985" s="43"/>
      <c r="C985" s="43"/>
    </row>
    <row r="986">
      <c r="A986" s="23"/>
      <c r="B986" s="43"/>
      <c r="C986" s="43"/>
    </row>
    <row r="987">
      <c r="A987" s="23"/>
      <c r="B987" s="43"/>
      <c r="C987" s="43"/>
    </row>
    <row r="988">
      <c r="A988" s="23"/>
      <c r="B988" s="43"/>
      <c r="C988" s="43"/>
    </row>
    <row r="989">
      <c r="A989" s="23"/>
      <c r="B989" s="43"/>
      <c r="C989" s="43"/>
    </row>
    <row r="990">
      <c r="A990" s="23"/>
      <c r="B990" s="43"/>
      <c r="C990" s="43"/>
    </row>
    <row r="991">
      <c r="A991" s="23"/>
      <c r="B991" s="43"/>
      <c r="C991" s="43"/>
    </row>
    <row r="992">
      <c r="A992" s="23"/>
      <c r="B992" s="43"/>
      <c r="C992" s="43"/>
    </row>
    <row r="993">
      <c r="A993" s="23"/>
      <c r="B993" s="43"/>
      <c r="C993" s="43"/>
    </row>
    <row r="994">
      <c r="A994" s="23"/>
      <c r="B994" s="43"/>
      <c r="C994" s="43"/>
    </row>
    <row r="995">
      <c r="A995" s="23"/>
      <c r="B995" s="43"/>
      <c r="C995" s="43"/>
    </row>
    <row r="996">
      <c r="A996" s="23"/>
      <c r="B996" s="43"/>
      <c r="C996" s="43"/>
    </row>
    <row r="997">
      <c r="A997" s="23"/>
      <c r="B997" s="43"/>
      <c r="C997" s="43"/>
    </row>
    <row r="998">
      <c r="A998" s="23"/>
      <c r="B998" s="43"/>
      <c r="C998" s="43"/>
    </row>
    <row r="999">
      <c r="A999" s="23"/>
      <c r="B999" s="43"/>
      <c r="C999" s="43"/>
    </row>
    <row r="1000">
      <c r="A1000" s="23"/>
      <c r="B1000" s="43"/>
      <c r="C1000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5" max="5" width="20.38"/>
  </cols>
  <sheetData>
    <row r="1">
      <c r="A1" s="1" t="s">
        <v>0</v>
      </c>
      <c r="B1" s="35" t="s">
        <v>26</v>
      </c>
      <c r="C1" s="36" t="s">
        <v>15</v>
      </c>
      <c r="E1" s="25"/>
      <c r="F1" s="35" t="s">
        <v>9</v>
      </c>
      <c r="G1" s="36" t="s">
        <v>15</v>
      </c>
    </row>
    <row r="2">
      <c r="A2" s="7">
        <v>46091.0</v>
      </c>
      <c r="B2" s="43">
        <f>VLOOKUP(A2,'Return prepared data'!A:L,6,0)</f>
        <v>0.004994173464</v>
      </c>
      <c r="C2" s="43">
        <f>VLOOKUP(A2,'Return prepared data'!A:L,7,0)</f>
        <v>0.006273122085</v>
      </c>
      <c r="E2" s="45" t="s">
        <v>33</v>
      </c>
      <c r="F2" s="43">
        <f t="shared" ref="F2:G2" si="1">AVERAGE(B:B)</f>
        <v>0.00410361447</v>
      </c>
      <c r="G2" s="43">
        <f t="shared" si="1"/>
        <v>0.007985952577</v>
      </c>
    </row>
    <row r="3">
      <c r="A3" s="13">
        <v>46090.0</v>
      </c>
      <c r="B3" s="43">
        <f>VLOOKUP(A3,'Return prepared data'!A:L,6,0)</f>
        <v>-0.005381240169</v>
      </c>
      <c r="C3" s="43">
        <f>VLOOKUP(A3,'Return prepared data'!A:L,7,0)</f>
        <v>0.00436187399</v>
      </c>
      <c r="E3" s="45" t="s">
        <v>34</v>
      </c>
      <c r="F3" s="43">
        <f t="shared" ref="F3:G3" si="2">AVEDEV(B2:B54)*52/51</f>
        <v>0.02751549354</v>
      </c>
      <c r="G3" s="43">
        <f t="shared" si="2"/>
        <v>0.02514968538</v>
      </c>
    </row>
    <row r="4">
      <c r="A4" s="7">
        <v>46083.0</v>
      </c>
      <c r="B4" s="43">
        <f>VLOOKUP(A4,'Return prepared data'!A:L,6,0)</f>
        <v>0.06151682925</v>
      </c>
      <c r="C4" s="43">
        <f>VLOOKUP(A4,'Return prepared data'!A:L,7,0)</f>
        <v>-0.03243454474</v>
      </c>
      <c r="E4" s="45" t="s">
        <v>35</v>
      </c>
      <c r="F4" s="43">
        <f t="shared" ref="F4:G4" si="3">_xlfn.VAR.S(B:B)</f>
        <v>0.00115695903</v>
      </c>
      <c r="G4" s="43">
        <f t="shared" si="3"/>
        <v>0.001165036385</v>
      </c>
    </row>
    <row r="5">
      <c r="A5" s="13">
        <v>46076.0</v>
      </c>
      <c r="B5" s="43">
        <f>VLOOKUP(A5,'Return prepared data'!A:L,6,0)</f>
        <v>-0.02485217242</v>
      </c>
      <c r="C5" s="43">
        <f>VLOOKUP(A5,'Return prepared data'!A:L,7,0)</f>
        <v>0.04032848199</v>
      </c>
      <c r="E5" s="45" t="s">
        <v>36</v>
      </c>
      <c r="F5" s="43">
        <f t="shared" ref="F5:G5" si="4">_xlfn.STDEV.S(B:B)</f>
        <v>0.03401410046</v>
      </c>
      <c r="G5" s="43">
        <f t="shared" si="4"/>
        <v>0.03413262933</v>
      </c>
    </row>
    <row r="6">
      <c r="A6" s="7">
        <v>46069.0</v>
      </c>
      <c r="B6" s="43">
        <f>VLOOKUP(A6,'Return prepared data'!A:L,6,0)</f>
        <v>0.01832620648</v>
      </c>
      <c r="C6" s="43">
        <f>VLOOKUP(A6,'Return prepared data'!A:L,7,0)</f>
        <v>-0.08141011278</v>
      </c>
    </row>
    <row r="7">
      <c r="A7" s="13">
        <v>46062.0</v>
      </c>
      <c r="B7" s="43">
        <f>VLOOKUP(A7,'Return prepared data'!A:L,6,0)</f>
        <v>0.001748404581</v>
      </c>
      <c r="C7" s="43">
        <f>VLOOKUP(A7,'Return prepared data'!A:L,7,0)</f>
        <v>0.02065863699</v>
      </c>
      <c r="E7" s="25" t="s">
        <v>27</v>
      </c>
      <c r="F7" s="44">
        <f t="shared" ref="F7:G7" si="5">MAX(B:B)</f>
        <v>0.09558471411</v>
      </c>
      <c r="G7" s="44">
        <f t="shared" si="5"/>
        <v>0.1154544354</v>
      </c>
    </row>
    <row r="8">
      <c r="A8" s="7">
        <v>46055.0</v>
      </c>
      <c r="B8" s="43">
        <f>VLOOKUP(A8,'Return prepared data'!A:L,6,0)</f>
        <v>0.09558471411</v>
      </c>
      <c r="C8" s="43">
        <f>VLOOKUP(A8,'Return prepared data'!A:L,7,0)</f>
        <v>0.1010575793</v>
      </c>
      <c r="E8" s="25" t="s">
        <v>28</v>
      </c>
      <c r="F8" s="43">
        <f t="shared" ref="F8:G8" si="6">MIN(B:B)</f>
        <v>-0.07648067803</v>
      </c>
      <c r="G8" s="43">
        <f t="shared" si="6"/>
        <v>-0.08141011278</v>
      </c>
    </row>
    <row r="9">
      <c r="A9" s="13">
        <v>46048.0</v>
      </c>
      <c r="B9" s="43">
        <f>VLOOKUP(A9,'Return prepared data'!A:L,6,0)</f>
        <v>-0.02429679469</v>
      </c>
      <c r="C9" s="43">
        <f>VLOOKUP(A9,'Return prepared data'!A:L,7,0)</f>
        <v>0.01197655653</v>
      </c>
    </row>
    <row r="10">
      <c r="A10" s="7">
        <v>46041.0</v>
      </c>
      <c r="B10" s="43">
        <f>VLOOKUP(A10,'Return prepared data'!A:L,6,0)</f>
        <v>-0.02859477124</v>
      </c>
      <c r="C10" s="43">
        <f>VLOOKUP(A10,'Return prepared data'!A:L,7,0)</f>
        <v>-0.01645781119</v>
      </c>
      <c r="E10" s="3" t="s">
        <v>37</v>
      </c>
      <c r="F10" s="42">
        <f t="shared" ref="F10:G10" si="7">(F8-F2)/F5</f>
        <v>-2.36914372</v>
      </c>
      <c r="G10" s="42">
        <f t="shared" si="7"/>
        <v>-2.619079371</v>
      </c>
    </row>
    <row r="11">
      <c r="A11" s="13">
        <v>46034.0</v>
      </c>
      <c r="B11" s="43">
        <f>VLOOKUP(A11,'Return prepared data'!A:L,6,0)</f>
        <v>0.05456634118</v>
      </c>
      <c r="C11" s="43">
        <f>VLOOKUP(A11,'Return prepared data'!A:L,7,0)</f>
        <v>0.04514101109</v>
      </c>
      <c r="E11" s="3" t="s">
        <v>38</v>
      </c>
      <c r="F11" s="42">
        <f t="shared" ref="F11:G11" si="8">(F7-F2)/F5</f>
        <v>2.689505187</v>
      </c>
      <c r="G11" s="42">
        <f t="shared" si="8"/>
        <v>3.148555648</v>
      </c>
    </row>
    <row r="12">
      <c r="A12" s="7">
        <v>46027.0</v>
      </c>
      <c r="B12" s="43">
        <f>VLOOKUP(A12,'Return prepared data'!A:L,6,0)</f>
        <v>0.04984924623</v>
      </c>
      <c r="C12" s="43">
        <f>VLOOKUP(A12,'Return prepared data'!A:L,7,0)</f>
        <v>0.01569705569</v>
      </c>
    </row>
    <row r="13">
      <c r="A13" s="13">
        <v>46020.0</v>
      </c>
      <c r="B13" s="43">
        <f>VLOOKUP(A13,'Return prepared data'!A:L,6,0)</f>
        <v>0.009639776763</v>
      </c>
      <c r="C13" s="43">
        <f>VLOOKUP(A13,'Return prepared data'!A:L,7,0)</f>
        <v>0.009128333632</v>
      </c>
    </row>
    <row r="14">
      <c r="A14" s="7">
        <v>46013.0</v>
      </c>
      <c r="B14" s="43">
        <f>VLOOKUP(A14,'Return prepared data'!A:L,6,0)</f>
        <v>0.01576994434</v>
      </c>
      <c r="C14" s="43">
        <f>VLOOKUP(A14,'Return prepared data'!A:L,7,0)</f>
        <v>-0.02291010843</v>
      </c>
    </row>
    <row r="15">
      <c r="A15" s="13">
        <v>46006.0</v>
      </c>
      <c r="B15" s="43">
        <f>VLOOKUP(A15,'Return prepared data'!A:L,6,0)</f>
        <v>0.009468317553</v>
      </c>
      <c r="C15" s="43">
        <f>VLOOKUP(A15,'Return prepared data'!A:L,7,0)</f>
        <v>-0.0180319423</v>
      </c>
    </row>
    <row r="16">
      <c r="A16" s="7">
        <v>45999.0</v>
      </c>
      <c r="B16" s="43">
        <f>VLOOKUP(A16,'Return prepared data'!A:L,6,0)</f>
        <v>0.05314486084</v>
      </c>
      <c r="C16" s="43">
        <f>VLOOKUP(A16,'Return prepared data'!A:L,7,0)</f>
        <v>0.01375348189</v>
      </c>
    </row>
    <row r="17">
      <c r="A17" s="13">
        <v>45992.0</v>
      </c>
      <c r="B17" s="43">
        <f>VLOOKUP(A17,'Return prepared data'!A:L,6,0)</f>
        <v>0.01727789544</v>
      </c>
      <c r="C17" s="43">
        <f>VLOOKUP(A17,'Return prepared data'!A:L,7,0)</f>
        <v>0.04161755372</v>
      </c>
    </row>
    <row r="18">
      <c r="A18" s="7">
        <v>45985.0</v>
      </c>
      <c r="B18" s="43">
        <f>VLOOKUP(A18,'Return prepared data'!A:L,6,0)</f>
        <v>0.03424025824</v>
      </c>
      <c r="C18" s="43">
        <f>VLOOKUP(A18,'Return prepared data'!A:L,7,0)</f>
        <v>0.04928170488</v>
      </c>
    </row>
    <row r="19">
      <c r="A19" s="13">
        <v>45978.0</v>
      </c>
      <c r="B19" s="43">
        <f>VLOOKUP(A19,'Return prepared data'!A:L,6,0)</f>
        <v>-0.01308453749</v>
      </c>
      <c r="C19" s="43">
        <f>VLOOKUP(A19,'Return prepared data'!A:L,7,0)</f>
        <v>0.02776962941</v>
      </c>
    </row>
    <row r="20">
      <c r="A20" s="7">
        <v>45971.0</v>
      </c>
      <c r="B20" s="43">
        <f>VLOOKUP(A20,'Return prepared data'!A:L,6,0)</f>
        <v>-0.01468609865</v>
      </c>
      <c r="C20" s="43">
        <f>VLOOKUP(A20,'Return prepared data'!A:L,7,0)</f>
        <v>-0.001074428599</v>
      </c>
    </row>
    <row r="21">
      <c r="A21" s="13">
        <v>45964.0</v>
      </c>
      <c r="B21" s="43">
        <f>VLOOKUP(A21,'Return prepared data'!A:L,6,0)</f>
        <v>-0.0158870256</v>
      </c>
      <c r="C21" s="43">
        <f>VLOOKUP(A21,'Return prepared data'!A:L,7,0)</f>
        <v>0.01396454392</v>
      </c>
    </row>
    <row r="22">
      <c r="A22" s="7">
        <v>45957.0</v>
      </c>
      <c r="B22" s="43">
        <f>VLOOKUP(A22,'Return prepared data'!A:L,6,0)</f>
        <v>-0.01638632664</v>
      </c>
      <c r="C22" s="43">
        <f>VLOOKUP(A22,'Return prepared data'!A:L,7,0)</f>
        <v>-0.04700330345</v>
      </c>
    </row>
    <row r="23">
      <c r="A23" s="13">
        <v>45950.0</v>
      </c>
      <c r="B23" s="43">
        <f>VLOOKUP(A23,'Return prepared data'!A:L,6,0)</f>
        <v>0.03760837743</v>
      </c>
      <c r="C23" s="43">
        <f>VLOOKUP(A23,'Return prepared data'!A:L,7,0)</f>
        <v>-0.01451027811</v>
      </c>
    </row>
    <row r="24">
      <c r="A24" s="7">
        <v>45943.0</v>
      </c>
      <c r="B24" s="43">
        <f>VLOOKUP(A24,'Return prepared data'!A:L,6,0)</f>
        <v>0.06219351752</v>
      </c>
      <c r="C24" s="43">
        <f>VLOOKUP(A24,'Return prepared data'!A:L,7,0)</f>
        <v>0.05785693201</v>
      </c>
    </row>
    <row r="25">
      <c r="A25" s="13">
        <v>45936.0</v>
      </c>
      <c r="B25" s="43">
        <f>VLOOKUP(A25,'Return prepared data'!A:L,6,0)</f>
        <v>-0.03940716912</v>
      </c>
      <c r="C25" s="43">
        <f>VLOOKUP(A25,'Return prepared data'!A:L,7,0)</f>
        <v>-0.002258001178</v>
      </c>
    </row>
    <row r="26">
      <c r="A26" s="7">
        <v>45929.0</v>
      </c>
      <c r="B26" s="43">
        <f>VLOOKUP(A26,'Return prepared data'!A:L,6,0)</f>
        <v>0.01350721938</v>
      </c>
      <c r="C26" s="43">
        <f>VLOOKUP(A26,'Return prepared data'!A:L,7,0)</f>
        <v>-0.01058766391</v>
      </c>
    </row>
    <row r="27">
      <c r="A27" s="13">
        <v>45922.0</v>
      </c>
      <c r="B27" s="43">
        <f>VLOOKUP(A27,'Return prepared data'!A:L,6,0)</f>
        <v>-0.003249767874</v>
      </c>
      <c r="C27" s="43">
        <f>VLOOKUP(A27,'Return prepared data'!A:L,7,0)</f>
        <v>0.00812769291</v>
      </c>
    </row>
    <row r="28">
      <c r="A28" s="7">
        <v>45915.0</v>
      </c>
      <c r="B28" s="43">
        <f>VLOOKUP(A28,'Return prepared data'!A:L,6,0)</f>
        <v>-0.020352473</v>
      </c>
      <c r="C28" s="43">
        <f>VLOOKUP(A28,'Return prepared data'!A:L,7,0)</f>
        <v>-0.01123160341</v>
      </c>
    </row>
    <row r="29">
      <c r="A29" s="13">
        <v>45908.0</v>
      </c>
      <c r="B29" s="43">
        <f>VLOOKUP(A29,'Return prepared data'!A:L,6,0)</f>
        <v>-0.03436539306</v>
      </c>
      <c r="C29" s="43">
        <f>VLOOKUP(A29,'Return prepared data'!A:L,7,0)</f>
        <v>0.02960821453</v>
      </c>
    </row>
    <row r="30">
      <c r="A30" s="7">
        <v>45901.0</v>
      </c>
      <c r="B30" s="43">
        <f>VLOOKUP(A30,'Return prepared data'!A:L,6,0)</f>
        <v>-0.02930832356</v>
      </c>
      <c r="C30" s="43">
        <f>VLOOKUP(A30,'Return prepared data'!A:L,7,0)</f>
        <v>0.0364744782</v>
      </c>
    </row>
    <row r="31">
      <c r="A31" s="13">
        <v>45894.0</v>
      </c>
      <c r="B31" s="43">
        <f>VLOOKUP(A31,'Return prepared data'!A:L,6,0)</f>
        <v>-0.03287981859</v>
      </c>
      <c r="C31" s="43">
        <f>VLOOKUP(A31,'Return prepared data'!A:L,7,0)</f>
        <v>0.001552312946</v>
      </c>
    </row>
    <row r="32">
      <c r="A32" s="7">
        <v>45887.0</v>
      </c>
      <c r="B32" s="43">
        <f>VLOOKUP(A32,'Return prepared data'!A:L,6,0)</f>
        <v>-0.02619692864</v>
      </c>
      <c r="C32" s="43">
        <f>VLOOKUP(A32,'Return prepared data'!A:L,7,0)</f>
        <v>-0.02942948975</v>
      </c>
    </row>
    <row r="33">
      <c r="A33" s="13">
        <v>45880.0</v>
      </c>
      <c r="B33" s="43">
        <f>VLOOKUP(A33,'Return prepared data'!A:L,6,0)</f>
        <v>-0.02256450505</v>
      </c>
      <c r="C33" s="43">
        <f>VLOOKUP(A33,'Return prepared data'!A:L,7,0)</f>
        <v>-0.03601859024</v>
      </c>
    </row>
    <row r="34">
      <c r="A34" s="7">
        <v>45873.0</v>
      </c>
      <c r="B34" s="43">
        <f>VLOOKUP(A34,'Return prepared data'!A:L,6,0)</f>
        <v>0.05637889937</v>
      </c>
      <c r="C34" s="43">
        <f>VLOOKUP(A34,'Return prepared data'!A:L,7,0)</f>
        <v>0.05323271466</v>
      </c>
    </row>
    <row r="35">
      <c r="A35" s="13">
        <v>45866.0</v>
      </c>
      <c r="B35" s="43">
        <f>VLOOKUP(A35,'Return prepared data'!A:L,6,0)</f>
        <v>-0.05918486739</v>
      </c>
      <c r="C35" s="43">
        <f>VLOOKUP(A35,'Return prepared data'!A:L,7,0)</f>
        <v>0.0104070067</v>
      </c>
    </row>
    <row r="36">
      <c r="A36" s="7">
        <v>45859.0</v>
      </c>
      <c r="B36" s="43">
        <f>VLOOKUP(A36,'Return prepared data'!A:L,6,0)</f>
        <v>0.02498500899</v>
      </c>
      <c r="C36" s="43">
        <f>VLOOKUP(A36,'Return prepared data'!A:L,7,0)</f>
        <v>0.0254649197</v>
      </c>
    </row>
    <row r="37">
      <c r="A37" s="13">
        <v>45852.0</v>
      </c>
      <c r="B37" s="43">
        <f>VLOOKUP(A37,'Return prepared data'!A:L,6,0)</f>
        <v>-0.007439738121</v>
      </c>
      <c r="C37" s="43">
        <f>VLOOKUP(A37,'Return prepared data'!A:L,7,0)</f>
        <v>0.006915629322</v>
      </c>
    </row>
    <row r="38">
      <c r="A38" s="7">
        <v>45845.0</v>
      </c>
      <c r="B38" s="43">
        <f>VLOOKUP(A38,'Return prepared data'!A:L,6,0)</f>
        <v>0.001689189189</v>
      </c>
      <c r="C38" s="43">
        <f>VLOOKUP(A38,'Return prepared data'!A:L,7,0)</f>
        <v>-0.04023281936</v>
      </c>
    </row>
    <row r="39">
      <c r="A39" s="13">
        <v>45838.0</v>
      </c>
      <c r="B39" s="43">
        <f>VLOOKUP(A39,'Return prepared data'!A:L,6,0)</f>
        <v>0.04866103991</v>
      </c>
      <c r="C39" s="43">
        <f>VLOOKUP(A39,'Return prepared data'!A:L,7,0)</f>
        <v>0.01115126484</v>
      </c>
    </row>
    <row r="40">
      <c r="A40" s="7">
        <v>45831.0</v>
      </c>
      <c r="B40" s="43">
        <f>VLOOKUP(A40,'Return prepared data'!A:L,6,0)</f>
        <v>0.03863636364</v>
      </c>
      <c r="C40" s="43">
        <f>VLOOKUP(A40,'Return prepared data'!A:L,7,0)</f>
        <v>0.01201671891</v>
      </c>
    </row>
    <row r="41">
      <c r="A41" s="13">
        <v>45824.0</v>
      </c>
      <c r="B41" s="43">
        <f>VLOOKUP(A41,'Return prepared data'!A:L,6,0)</f>
        <v>0.001843218042</v>
      </c>
      <c r="C41" s="43">
        <f>VLOOKUP(A41,'Return prepared data'!A:L,7,0)</f>
        <v>0.01776028927</v>
      </c>
    </row>
    <row r="42">
      <c r="A42" s="7">
        <v>45817.0</v>
      </c>
      <c r="B42" s="43">
        <f>VLOOKUP(A42,'Return prepared data'!A:L,6,0)</f>
        <v>-0.02008074798</v>
      </c>
      <c r="C42" s="43">
        <f>VLOOKUP(A42,'Return prepared data'!A:L,7,0)</f>
        <v>-0.03111798042</v>
      </c>
    </row>
    <row r="43">
      <c r="A43" s="13">
        <v>45810.0</v>
      </c>
      <c r="B43" s="43">
        <f>VLOOKUP(A43,'Return prepared data'!A:L,6,0)</f>
        <v>0.03519577651</v>
      </c>
      <c r="C43" s="43">
        <f>VLOOKUP(A43,'Return prepared data'!A:L,7,0)</f>
        <v>-0.01261572897</v>
      </c>
    </row>
    <row r="44">
      <c r="A44" s="7">
        <v>45803.0</v>
      </c>
      <c r="B44" s="43">
        <f>VLOOKUP(A44,'Return prepared data'!A:L,6,0)</f>
        <v>-0.002960850971</v>
      </c>
      <c r="C44" s="43">
        <f>VLOOKUP(A44,'Return prepared data'!A:L,7,0)</f>
        <v>0.02470809008</v>
      </c>
    </row>
    <row r="45">
      <c r="A45" s="13">
        <v>45796.0</v>
      </c>
      <c r="B45" s="43">
        <f>VLOOKUP(A45,'Return prepared data'!A:L,6,0)</f>
        <v>-0.03256948865</v>
      </c>
      <c r="C45" s="43">
        <f>VLOOKUP(A45,'Return prepared data'!A:L,7,0)</f>
        <v>-0.01932317759</v>
      </c>
    </row>
    <row r="46">
      <c r="A46" s="7">
        <v>45789.0</v>
      </c>
      <c r="B46" s="43">
        <f>VLOOKUP(A46,'Return prepared data'!A:L,6,0)</f>
        <v>0.02256454762</v>
      </c>
      <c r="C46" s="43">
        <f>VLOOKUP(A46,'Return prepared data'!A:L,7,0)</f>
        <v>0.01811179348</v>
      </c>
    </row>
    <row r="47">
      <c r="A47" s="13">
        <v>45782.0</v>
      </c>
      <c r="B47" s="43">
        <f>VLOOKUP(A47,'Return prepared data'!A:L,6,0)</f>
        <v>-0.009881847476</v>
      </c>
      <c r="C47" s="43">
        <f>VLOOKUP(A47,'Return prepared data'!A:L,7,0)</f>
        <v>-0.02049347471</v>
      </c>
    </row>
    <row r="48">
      <c r="A48" s="20">
        <v>45775.0</v>
      </c>
      <c r="B48" s="43">
        <f>VLOOKUP(A48,'Return prepared data'!A:L,6,0)</f>
        <v>0.008121277748</v>
      </c>
      <c r="C48" s="43">
        <f>VLOOKUP(A48,'Return prepared data'!A:L,7,0)</f>
        <v>0.03843303335</v>
      </c>
    </row>
    <row r="49">
      <c r="A49" s="13">
        <v>45768.0</v>
      </c>
      <c r="B49" s="43">
        <f>VLOOKUP(A49,'Return prepared data'!A:L,6,0)</f>
        <v>0.03729080085</v>
      </c>
      <c r="C49" s="43">
        <f>VLOOKUP(A49,'Return prepared data'!A:L,7,0)</f>
        <v>0.02008856248</v>
      </c>
    </row>
    <row r="50">
      <c r="A50" s="7">
        <v>45761.0</v>
      </c>
      <c r="B50" s="43">
        <f>VLOOKUP(A50,'Return prepared data'!A:L,6,0)</f>
        <v>0.003494138864</v>
      </c>
      <c r="C50" s="43">
        <f>VLOOKUP(A50,'Return prepared data'!A:L,7,0)</f>
        <v>0.004556797223</v>
      </c>
    </row>
    <row r="51">
      <c r="A51" s="13">
        <v>45754.0</v>
      </c>
      <c r="B51" s="43">
        <f>VLOOKUP(A51,'Return prepared data'!A:L,6,0)</f>
        <v>-0.03070031684</v>
      </c>
      <c r="C51" s="43">
        <f>VLOOKUP(A51,'Return prepared data'!A:L,7,0)</f>
        <v>0.1154544354</v>
      </c>
    </row>
    <row r="52">
      <c r="A52" s="7">
        <v>45747.0</v>
      </c>
      <c r="B52" s="43">
        <f>VLOOKUP(A52,'Return prepared data'!A:L,6,0)</f>
        <v>-0.07648067803</v>
      </c>
      <c r="C52" s="43">
        <f>VLOOKUP(A52,'Return prepared data'!A:L,7,0)</f>
        <v>-0.02293957668</v>
      </c>
    </row>
    <row r="53">
      <c r="A53" s="13">
        <v>45740.0</v>
      </c>
      <c r="B53" s="43">
        <f>VLOOKUP(A53,'Return prepared data'!A:L,6,0)</f>
        <v>-0.00391959799</v>
      </c>
      <c r="C53" s="43">
        <f>VLOOKUP(A53,'Return prepared data'!A:L,7,0)</f>
        <v>-0.006928135275</v>
      </c>
    </row>
    <row r="54">
      <c r="A54" s="7">
        <v>45733.0</v>
      </c>
      <c r="B54" s="43">
        <f>VLOOKUP(A54,'Return prepared data'!A:L,6,0)</f>
        <v>-0.006093297373</v>
      </c>
      <c r="C54" s="43">
        <f>VLOOKUP(A54,'Return prepared data'!A:L,7,0)</f>
        <v>0.007333806482</v>
      </c>
    </row>
    <row r="55">
      <c r="A55" s="13">
        <v>45726.0</v>
      </c>
      <c r="B55" s="43" t="str">
        <f>VLOOKUP(A55,'Return prepared data'!A:L,6,0)</f>
        <v/>
      </c>
      <c r="C55" s="43"/>
    </row>
    <row r="56">
      <c r="A56" s="23"/>
      <c r="B56" s="43"/>
      <c r="C56" s="43"/>
    </row>
    <row r="57">
      <c r="A57" s="23"/>
      <c r="B57" s="43"/>
      <c r="C57" s="43"/>
    </row>
    <row r="58">
      <c r="A58" s="26"/>
      <c r="B58" s="43"/>
      <c r="C58" s="43"/>
    </row>
    <row r="59">
      <c r="A59" s="28"/>
      <c r="B59" s="43"/>
      <c r="C59" s="43"/>
    </row>
    <row r="60">
      <c r="A60" s="30"/>
      <c r="B60" s="43"/>
      <c r="C60" s="43"/>
    </row>
    <row r="61">
      <c r="A61" s="32"/>
      <c r="B61" s="43"/>
      <c r="C61" s="43"/>
    </row>
    <row r="62">
      <c r="A62" s="23"/>
      <c r="B62" s="43"/>
      <c r="C62" s="43"/>
    </row>
    <row r="63">
      <c r="A63" s="23"/>
      <c r="B63" s="43"/>
      <c r="C63" s="43"/>
    </row>
    <row r="64">
      <c r="A64" s="23"/>
      <c r="B64" s="43"/>
      <c r="C64" s="43"/>
    </row>
    <row r="65">
      <c r="A65" s="23"/>
      <c r="B65" s="43"/>
      <c r="C65" s="43"/>
    </row>
    <row r="66">
      <c r="A66" s="1"/>
      <c r="B66" s="43"/>
      <c r="C66" s="43"/>
    </row>
    <row r="67">
      <c r="A67" s="23"/>
      <c r="B67" s="43"/>
      <c r="C67" s="43"/>
    </row>
    <row r="68">
      <c r="A68" s="23"/>
      <c r="B68" s="43"/>
      <c r="C68" s="43"/>
    </row>
    <row r="69">
      <c r="A69" s="23"/>
      <c r="B69" s="43"/>
      <c r="C69" s="43"/>
    </row>
    <row r="70">
      <c r="A70" s="23"/>
      <c r="B70" s="43"/>
      <c r="C70" s="43"/>
    </row>
    <row r="71">
      <c r="A71" s="23"/>
      <c r="B71" s="43"/>
      <c r="C71" s="43"/>
    </row>
    <row r="72">
      <c r="A72" s="23"/>
      <c r="B72" s="43"/>
      <c r="C72" s="43"/>
    </row>
    <row r="73">
      <c r="A73" s="23"/>
      <c r="B73" s="43"/>
      <c r="C73" s="43"/>
    </row>
    <row r="74">
      <c r="A74" s="23"/>
      <c r="B74" s="43"/>
      <c r="C74" s="43"/>
    </row>
    <row r="75">
      <c r="A75" s="23"/>
      <c r="B75" s="43"/>
      <c r="C75" s="43"/>
    </row>
    <row r="76">
      <c r="A76" s="23"/>
      <c r="B76" s="43"/>
      <c r="C76" s="43"/>
    </row>
    <row r="77">
      <c r="A77" s="23"/>
      <c r="B77" s="43"/>
      <c r="C77" s="43"/>
    </row>
    <row r="78">
      <c r="A78" s="23"/>
      <c r="B78" s="43"/>
      <c r="C78" s="43"/>
    </row>
    <row r="79">
      <c r="A79" s="23"/>
      <c r="B79" s="43"/>
      <c r="C79" s="43"/>
    </row>
    <row r="80">
      <c r="A80" s="23"/>
      <c r="B80" s="43"/>
      <c r="C80" s="43"/>
    </row>
    <row r="81">
      <c r="A81" s="23"/>
      <c r="B81" s="43"/>
      <c r="C81" s="43"/>
    </row>
    <row r="82">
      <c r="A82" s="23"/>
      <c r="B82" s="43"/>
      <c r="C82" s="43"/>
    </row>
    <row r="83">
      <c r="A83" s="23"/>
      <c r="B83" s="43"/>
      <c r="C83" s="43"/>
    </row>
    <row r="84">
      <c r="A84" s="23"/>
      <c r="B84" s="43"/>
      <c r="C84" s="43"/>
    </row>
    <row r="85">
      <c r="A85" s="23"/>
      <c r="B85" s="43"/>
      <c r="C85" s="43"/>
    </row>
    <row r="86">
      <c r="A86" s="23"/>
      <c r="B86" s="43"/>
      <c r="C86" s="43"/>
    </row>
    <row r="87">
      <c r="A87" s="23"/>
      <c r="B87" s="43"/>
      <c r="C87" s="43"/>
    </row>
    <row r="88">
      <c r="A88" s="23"/>
      <c r="B88" s="43"/>
      <c r="C88" s="43"/>
    </row>
    <row r="89">
      <c r="A89" s="23"/>
      <c r="B89" s="43"/>
      <c r="C89" s="43"/>
    </row>
    <row r="90">
      <c r="A90" s="23"/>
      <c r="B90" s="43"/>
      <c r="C90" s="43"/>
    </row>
    <row r="91">
      <c r="A91" s="23"/>
      <c r="B91" s="43"/>
      <c r="C91" s="43"/>
    </row>
    <row r="92">
      <c r="A92" s="23"/>
      <c r="B92" s="43"/>
      <c r="C92" s="43"/>
    </row>
    <row r="93">
      <c r="A93" s="23"/>
      <c r="B93" s="43"/>
      <c r="C93" s="43"/>
    </row>
    <row r="94">
      <c r="A94" s="23"/>
      <c r="B94" s="43"/>
      <c r="C94" s="43"/>
    </row>
    <row r="95">
      <c r="A95" s="23"/>
      <c r="B95" s="43"/>
      <c r="C95" s="43"/>
    </row>
    <row r="96">
      <c r="A96" s="23"/>
      <c r="B96" s="43"/>
      <c r="C96" s="43"/>
    </row>
    <row r="97">
      <c r="A97" s="23"/>
      <c r="B97" s="43"/>
      <c r="C97" s="43"/>
    </row>
    <row r="98">
      <c r="A98" s="23"/>
      <c r="B98" s="43"/>
      <c r="C98" s="43"/>
    </row>
    <row r="99">
      <c r="A99" s="23"/>
      <c r="B99" s="43"/>
      <c r="C99" s="43"/>
    </row>
    <row r="100">
      <c r="A100" s="23"/>
      <c r="B100" s="43"/>
      <c r="C100" s="43"/>
    </row>
    <row r="101">
      <c r="A101" s="23"/>
      <c r="B101" s="43"/>
      <c r="C101" s="43"/>
    </row>
    <row r="102">
      <c r="A102" s="23"/>
      <c r="B102" s="43"/>
      <c r="C102" s="43"/>
    </row>
    <row r="103">
      <c r="A103" s="23"/>
      <c r="B103" s="43"/>
      <c r="C103" s="43"/>
    </row>
    <row r="104">
      <c r="A104" s="23"/>
      <c r="B104" s="43"/>
      <c r="C104" s="43"/>
    </row>
    <row r="105">
      <c r="A105" s="23"/>
      <c r="B105" s="43"/>
      <c r="C105" s="43"/>
    </row>
    <row r="106">
      <c r="A106" s="23"/>
      <c r="B106" s="43"/>
      <c r="C106" s="43"/>
    </row>
    <row r="107">
      <c r="A107" s="23"/>
      <c r="B107" s="43"/>
      <c r="C107" s="43"/>
    </row>
    <row r="108">
      <c r="A108" s="23"/>
      <c r="B108" s="43"/>
      <c r="C108" s="43"/>
    </row>
    <row r="109">
      <c r="A109" s="23"/>
      <c r="B109" s="43"/>
      <c r="C109" s="43"/>
    </row>
    <row r="110">
      <c r="A110" s="23"/>
      <c r="B110" s="43"/>
      <c r="C110" s="43"/>
    </row>
    <row r="111">
      <c r="A111" s="23"/>
      <c r="B111" s="43"/>
      <c r="C111" s="43"/>
    </row>
    <row r="112">
      <c r="A112" s="23"/>
      <c r="B112" s="43"/>
      <c r="C112" s="43"/>
    </row>
    <row r="113">
      <c r="A113" s="23"/>
      <c r="B113" s="43"/>
      <c r="C113" s="43"/>
    </row>
    <row r="114">
      <c r="A114" s="23"/>
      <c r="B114" s="43"/>
      <c r="C114" s="43"/>
    </row>
    <row r="115">
      <c r="A115" s="23"/>
      <c r="B115" s="43"/>
      <c r="C115" s="43"/>
    </row>
    <row r="116">
      <c r="A116" s="23"/>
      <c r="B116" s="43"/>
      <c r="C116" s="43"/>
    </row>
    <row r="117">
      <c r="A117" s="23"/>
      <c r="B117" s="43"/>
      <c r="C117" s="43"/>
    </row>
    <row r="118">
      <c r="A118" s="23"/>
      <c r="B118" s="43"/>
      <c r="C118" s="43"/>
    </row>
    <row r="119">
      <c r="A119" s="23"/>
      <c r="B119" s="43"/>
      <c r="C119" s="43"/>
    </row>
    <row r="120">
      <c r="A120" s="23"/>
      <c r="B120" s="43"/>
      <c r="C120" s="43"/>
    </row>
    <row r="121">
      <c r="A121" s="23"/>
      <c r="B121" s="43"/>
      <c r="C121" s="43"/>
    </row>
    <row r="122">
      <c r="A122" s="23"/>
      <c r="B122" s="43"/>
      <c r="C122" s="43"/>
    </row>
    <row r="123">
      <c r="A123" s="23"/>
      <c r="B123" s="43"/>
      <c r="C123" s="43"/>
    </row>
    <row r="124">
      <c r="A124" s="23"/>
      <c r="B124" s="43"/>
      <c r="C124" s="43"/>
    </row>
    <row r="125">
      <c r="A125" s="23"/>
      <c r="B125" s="43"/>
      <c r="C125" s="43"/>
    </row>
    <row r="126">
      <c r="A126" s="23"/>
      <c r="B126" s="43"/>
      <c r="C126" s="43"/>
    </row>
    <row r="127">
      <c r="A127" s="23"/>
      <c r="B127" s="43"/>
      <c r="C127" s="43"/>
    </row>
    <row r="128">
      <c r="A128" s="23"/>
      <c r="B128" s="43"/>
      <c r="C128" s="43"/>
    </row>
    <row r="129">
      <c r="A129" s="23"/>
      <c r="B129" s="43"/>
      <c r="C129" s="43"/>
    </row>
    <row r="130">
      <c r="A130" s="23"/>
      <c r="B130" s="43"/>
      <c r="C130" s="43"/>
    </row>
    <row r="131">
      <c r="A131" s="23"/>
      <c r="B131" s="43"/>
      <c r="C131" s="43"/>
    </row>
    <row r="132">
      <c r="A132" s="23"/>
      <c r="B132" s="43"/>
      <c r="C132" s="43"/>
    </row>
    <row r="133">
      <c r="A133" s="23"/>
      <c r="B133" s="43"/>
      <c r="C133" s="43"/>
    </row>
    <row r="134">
      <c r="A134" s="23"/>
      <c r="B134" s="43"/>
      <c r="C134" s="43"/>
    </row>
    <row r="135">
      <c r="A135" s="23"/>
      <c r="B135" s="43"/>
      <c r="C135" s="43"/>
    </row>
    <row r="136">
      <c r="A136" s="23"/>
      <c r="B136" s="43"/>
      <c r="C136" s="43"/>
    </row>
    <row r="137">
      <c r="A137" s="23"/>
      <c r="B137" s="43"/>
      <c r="C137" s="43"/>
    </row>
    <row r="138">
      <c r="A138" s="23"/>
      <c r="B138" s="43"/>
      <c r="C138" s="43"/>
    </row>
    <row r="139">
      <c r="A139" s="23"/>
      <c r="B139" s="43"/>
      <c r="C139" s="43"/>
    </row>
    <row r="140">
      <c r="A140" s="23"/>
      <c r="B140" s="43"/>
      <c r="C140" s="43"/>
    </row>
    <row r="141">
      <c r="A141" s="23"/>
      <c r="B141" s="43"/>
      <c r="C141" s="43"/>
    </row>
    <row r="142">
      <c r="A142" s="23"/>
      <c r="B142" s="43"/>
      <c r="C142" s="43"/>
    </row>
    <row r="143">
      <c r="A143" s="23"/>
      <c r="B143" s="43"/>
      <c r="C143" s="43"/>
    </row>
    <row r="144">
      <c r="A144" s="23"/>
      <c r="B144" s="43"/>
      <c r="C144" s="43"/>
    </row>
    <row r="145">
      <c r="A145" s="23"/>
      <c r="B145" s="43"/>
      <c r="C145" s="43"/>
    </row>
    <row r="146">
      <c r="A146" s="23"/>
      <c r="B146" s="43"/>
      <c r="C146" s="43"/>
    </row>
    <row r="147">
      <c r="A147" s="23"/>
      <c r="B147" s="43"/>
      <c r="C147" s="43"/>
    </row>
    <row r="148">
      <c r="A148" s="23"/>
      <c r="B148" s="43"/>
      <c r="C148" s="43"/>
    </row>
    <row r="149">
      <c r="A149" s="23"/>
      <c r="B149" s="43"/>
      <c r="C149" s="43"/>
    </row>
    <row r="150">
      <c r="A150" s="23"/>
      <c r="B150" s="43"/>
      <c r="C150" s="43"/>
    </row>
    <row r="151">
      <c r="A151" s="23"/>
      <c r="B151" s="43"/>
      <c r="C151" s="43"/>
    </row>
    <row r="152">
      <c r="A152" s="23"/>
      <c r="B152" s="43"/>
      <c r="C152" s="43"/>
    </row>
    <row r="153">
      <c r="A153" s="23"/>
      <c r="B153" s="43"/>
      <c r="C153" s="43"/>
    </row>
    <row r="154">
      <c r="A154" s="23"/>
      <c r="B154" s="43"/>
      <c r="C154" s="43"/>
    </row>
    <row r="155">
      <c r="A155" s="23"/>
      <c r="B155" s="43"/>
      <c r="C155" s="43"/>
    </row>
    <row r="156">
      <c r="A156" s="23"/>
      <c r="B156" s="43"/>
      <c r="C156" s="43"/>
    </row>
    <row r="157">
      <c r="A157" s="23"/>
      <c r="B157" s="43"/>
      <c r="C157" s="43"/>
    </row>
    <row r="158">
      <c r="A158" s="23"/>
      <c r="B158" s="43"/>
      <c r="C158" s="43"/>
    </row>
    <row r="159">
      <c r="A159" s="23"/>
      <c r="B159" s="43"/>
      <c r="C159" s="43"/>
    </row>
    <row r="160">
      <c r="A160" s="23"/>
      <c r="B160" s="43"/>
      <c r="C160" s="43"/>
    </row>
    <row r="161">
      <c r="A161" s="23"/>
      <c r="B161" s="43"/>
      <c r="C161" s="43"/>
    </row>
    <row r="162">
      <c r="A162" s="23"/>
      <c r="B162" s="43"/>
      <c r="C162" s="43"/>
    </row>
    <row r="163">
      <c r="A163" s="23"/>
      <c r="B163" s="43"/>
      <c r="C163" s="43"/>
    </row>
    <row r="164">
      <c r="A164" s="23"/>
      <c r="B164" s="43"/>
      <c r="C164" s="43"/>
    </row>
    <row r="165">
      <c r="A165" s="23"/>
      <c r="B165" s="43"/>
      <c r="C165" s="43"/>
    </row>
    <row r="166">
      <c r="A166" s="23"/>
      <c r="B166" s="43"/>
      <c r="C166" s="43"/>
    </row>
    <row r="167">
      <c r="A167" s="23"/>
      <c r="B167" s="43"/>
      <c r="C167" s="43"/>
    </row>
    <row r="168">
      <c r="A168" s="23"/>
      <c r="B168" s="43"/>
      <c r="C168" s="43"/>
    </row>
    <row r="169">
      <c r="A169" s="23"/>
      <c r="B169" s="43"/>
      <c r="C169" s="43"/>
    </row>
    <row r="170">
      <c r="A170" s="23"/>
      <c r="B170" s="43"/>
      <c r="C170" s="43"/>
    </row>
    <row r="171">
      <c r="A171" s="23"/>
      <c r="B171" s="43"/>
      <c r="C171" s="43"/>
    </row>
    <row r="172">
      <c r="A172" s="23"/>
      <c r="B172" s="43"/>
      <c r="C172" s="43"/>
    </row>
    <row r="173">
      <c r="A173" s="23"/>
      <c r="B173" s="43"/>
      <c r="C173" s="43"/>
    </row>
    <row r="174">
      <c r="A174" s="23"/>
      <c r="B174" s="43"/>
      <c r="C174" s="43"/>
    </row>
    <row r="175">
      <c r="A175" s="23"/>
      <c r="B175" s="43"/>
      <c r="C175" s="43"/>
    </row>
    <row r="176">
      <c r="A176" s="23"/>
      <c r="B176" s="43"/>
      <c r="C176" s="43"/>
    </row>
    <row r="177">
      <c r="A177" s="23"/>
      <c r="B177" s="43"/>
      <c r="C177" s="43"/>
    </row>
    <row r="178">
      <c r="A178" s="23"/>
      <c r="B178" s="43"/>
      <c r="C178" s="43"/>
    </row>
    <row r="179">
      <c r="A179" s="23"/>
      <c r="B179" s="43"/>
      <c r="C179" s="43"/>
    </row>
    <row r="180">
      <c r="A180" s="23"/>
      <c r="B180" s="43"/>
      <c r="C180" s="43"/>
    </row>
    <row r="181">
      <c r="A181" s="23"/>
      <c r="B181" s="43"/>
      <c r="C181" s="43"/>
    </row>
    <row r="182">
      <c r="A182" s="23"/>
      <c r="B182" s="43"/>
      <c r="C182" s="43"/>
    </row>
    <row r="183">
      <c r="A183" s="23"/>
      <c r="B183" s="43"/>
      <c r="C183" s="43"/>
    </row>
    <row r="184">
      <c r="A184" s="23"/>
      <c r="B184" s="43"/>
      <c r="C184" s="43"/>
    </row>
    <row r="185">
      <c r="A185" s="23"/>
      <c r="B185" s="43"/>
      <c r="C185" s="43"/>
    </row>
    <row r="186">
      <c r="A186" s="23"/>
      <c r="B186" s="43"/>
      <c r="C186" s="43"/>
    </row>
    <row r="187">
      <c r="A187" s="23"/>
      <c r="B187" s="43"/>
      <c r="C187" s="43"/>
    </row>
    <row r="188">
      <c r="A188" s="23"/>
      <c r="B188" s="43"/>
      <c r="C188" s="43"/>
    </row>
    <row r="189">
      <c r="A189" s="23"/>
      <c r="B189" s="43"/>
      <c r="C189" s="43"/>
    </row>
    <row r="190">
      <c r="A190" s="23"/>
      <c r="B190" s="43"/>
      <c r="C190" s="43"/>
    </row>
    <row r="191">
      <c r="A191" s="23"/>
      <c r="B191" s="43"/>
      <c r="C191" s="43"/>
    </row>
    <row r="192">
      <c r="A192" s="23"/>
      <c r="B192" s="43"/>
      <c r="C192" s="43"/>
    </row>
    <row r="193">
      <c r="A193" s="23"/>
      <c r="B193" s="43"/>
      <c r="C193" s="43"/>
    </row>
    <row r="194">
      <c r="A194" s="23"/>
      <c r="B194" s="43"/>
      <c r="C194" s="43"/>
    </row>
    <row r="195">
      <c r="A195" s="23"/>
      <c r="B195" s="43"/>
      <c r="C195" s="43"/>
    </row>
    <row r="196">
      <c r="A196" s="23"/>
      <c r="B196" s="43"/>
      <c r="C196" s="43"/>
    </row>
    <row r="197">
      <c r="A197" s="23"/>
      <c r="B197" s="43"/>
      <c r="C197" s="43"/>
    </row>
    <row r="198">
      <c r="A198" s="23"/>
      <c r="B198" s="43"/>
      <c r="C198" s="43"/>
    </row>
    <row r="199">
      <c r="A199" s="23"/>
      <c r="B199" s="43"/>
      <c r="C199" s="43"/>
    </row>
    <row r="200">
      <c r="A200" s="23"/>
      <c r="B200" s="43"/>
      <c r="C200" s="43"/>
    </row>
    <row r="201">
      <c r="A201" s="23"/>
      <c r="B201" s="43"/>
      <c r="C201" s="43"/>
    </row>
    <row r="202">
      <c r="A202" s="23"/>
      <c r="B202" s="43"/>
      <c r="C202" s="43"/>
    </row>
    <row r="203">
      <c r="A203" s="23"/>
      <c r="B203" s="43"/>
      <c r="C203" s="43"/>
    </row>
    <row r="204">
      <c r="A204" s="23"/>
      <c r="B204" s="43"/>
      <c r="C204" s="43"/>
    </row>
    <row r="205">
      <c r="A205" s="23"/>
      <c r="B205" s="43"/>
      <c r="C205" s="43"/>
    </row>
    <row r="206">
      <c r="A206" s="23"/>
      <c r="B206" s="43"/>
      <c r="C206" s="43"/>
    </row>
    <row r="207">
      <c r="A207" s="23"/>
      <c r="B207" s="43"/>
      <c r="C207" s="43"/>
    </row>
    <row r="208">
      <c r="A208" s="23"/>
      <c r="B208" s="43"/>
      <c r="C208" s="43"/>
    </row>
    <row r="209">
      <c r="A209" s="23"/>
      <c r="B209" s="43"/>
      <c r="C209" s="43"/>
    </row>
    <row r="210">
      <c r="A210" s="23"/>
      <c r="B210" s="43"/>
      <c r="C210" s="43"/>
    </row>
    <row r="211">
      <c r="A211" s="23"/>
      <c r="B211" s="43"/>
      <c r="C211" s="43"/>
    </row>
    <row r="212">
      <c r="A212" s="23"/>
      <c r="B212" s="43"/>
      <c r="C212" s="43"/>
    </row>
    <row r="213">
      <c r="A213" s="23"/>
      <c r="B213" s="43"/>
      <c r="C213" s="43"/>
    </row>
    <row r="214">
      <c r="A214" s="23"/>
      <c r="B214" s="43"/>
      <c r="C214" s="43"/>
    </row>
    <row r="215">
      <c r="A215" s="23"/>
      <c r="B215" s="43"/>
      <c r="C215" s="43"/>
    </row>
    <row r="216">
      <c r="A216" s="23"/>
      <c r="B216" s="43"/>
      <c r="C216" s="43"/>
    </row>
    <row r="217">
      <c r="A217" s="23"/>
      <c r="B217" s="43"/>
      <c r="C217" s="43"/>
    </row>
    <row r="218">
      <c r="A218" s="23"/>
      <c r="B218" s="43"/>
      <c r="C218" s="43"/>
    </row>
    <row r="219">
      <c r="A219" s="23"/>
      <c r="B219" s="43"/>
      <c r="C219" s="43"/>
    </row>
    <row r="220">
      <c r="A220" s="23"/>
      <c r="B220" s="43"/>
      <c r="C220" s="43"/>
    </row>
    <row r="221">
      <c r="A221" s="23"/>
      <c r="B221" s="43"/>
      <c r="C221" s="43"/>
    </row>
    <row r="222">
      <c r="A222" s="23"/>
      <c r="B222" s="43"/>
      <c r="C222" s="43"/>
    </row>
    <row r="223">
      <c r="A223" s="23"/>
      <c r="B223" s="43"/>
      <c r="C223" s="43"/>
    </row>
    <row r="224">
      <c r="A224" s="23"/>
      <c r="B224" s="43"/>
      <c r="C224" s="43"/>
    </row>
    <row r="225">
      <c r="A225" s="23"/>
      <c r="B225" s="43"/>
      <c r="C225" s="43"/>
    </row>
    <row r="226">
      <c r="A226" s="23"/>
      <c r="B226" s="43"/>
      <c r="C226" s="43"/>
    </row>
    <row r="227">
      <c r="A227" s="23"/>
      <c r="B227" s="43"/>
      <c r="C227" s="43"/>
    </row>
    <row r="228">
      <c r="A228" s="23"/>
      <c r="B228" s="43"/>
      <c r="C228" s="43"/>
    </row>
    <row r="229">
      <c r="A229" s="23"/>
      <c r="B229" s="43"/>
      <c r="C229" s="43"/>
    </row>
    <row r="230">
      <c r="A230" s="23"/>
      <c r="B230" s="43"/>
      <c r="C230" s="43"/>
    </row>
    <row r="231">
      <c r="A231" s="23"/>
      <c r="B231" s="43"/>
      <c r="C231" s="43"/>
    </row>
    <row r="232">
      <c r="A232" s="23"/>
      <c r="B232" s="43"/>
      <c r="C232" s="43"/>
    </row>
    <row r="233">
      <c r="A233" s="23"/>
      <c r="B233" s="43"/>
      <c r="C233" s="43"/>
    </row>
    <row r="234">
      <c r="A234" s="23"/>
      <c r="B234" s="43"/>
      <c r="C234" s="43"/>
    </row>
    <row r="235">
      <c r="A235" s="23"/>
      <c r="B235" s="43"/>
      <c r="C235" s="43"/>
    </row>
    <row r="236">
      <c r="A236" s="23"/>
      <c r="B236" s="43"/>
      <c r="C236" s="43"/>
    </row>
    <row r="237">
      <c r="A237" s="23"/>
      <c r="B237" s="43"/>
      <c r="C237" s="43"/>
    </row>
    <row r="238">
      <c r="A238" s="23"/>
      <c r="B238" s="43"/>
      <c r="C238" s="43"/>
    </row>
    <row r="239">
      <c r="A239" s="23"/>
      <c r="B239" s="43"/>
      <c r="C239" s="43"/>
    </row>
    <row r="240">
      <c r="A240" s="23"/>
      <c r="B240" s="43"/>
      <c r="C240" s="43"/>
    </row>
    <row r="241">
      <c r="A241" s="23"/>
      <c r="B241" s="43"/>
      <c r="C241" s="43"/>
    </row>
    <row r="242">
      <c r="A242" s="23"/>
      <c r="B242" s="43"/>
      <c r="C242" s="43"/>
    </row>
    <row r="243">
      <c r="A243" s="23"/>
      <c r="B243" s="43"/>
      <c r="C243" s="43"/>
    </row>
    <row r="244">
      <c r="A244" s="23"/>
      <c r="B244" s="43"/>
      <c r="C244" s="43"/>
    </row>
    <row r="245">
      <c r="A245" s="23"/>
      <c r="B245" s="43"/>
      <c r="C245" s="43"/>
    </row>
    <row r="246">
      <c r="A246" s="23"/>
      <c r="B246" s="43"/>
      <c r="C246" s="43"/>
    </row>
    <row r="247">
      <c r="A247" s="23"/>
      <c r="B247" s="43"/>
      <c r="C247" s="43"/>
    </row>
    <row r="248">
      <c r="A248" s="23"/>
      <c r="B248" s="43"/>
      <c r="C248" s="43"/>
    </row>
    <row r="249">
      <c r="A249" s="23"/>
      <c r="B249" s="43"/>
      <c r="C249" s="43"/>
    </row>
    <row r="250">
      <c r="A250" s="23"/>
      <c r="B250" s="43"/>
      <c r="C250" s="43"/>
    </row>
    <row r="251">
      <c r="A251" s="23"/>
      <c r="B251" s="43"/>
      <c r="C251" s="43"/>
    </row>
    <row r="252">
      <c r="A252" s="23"/>
      <c r="B252" s="43"/>
      <c r="C252" s="43"/>
    </row>
    <row r="253">
      <c r="A253" s="23"/>
      <c r="B253" s="43"/>
      <c r="C253" s="43"/>
    </row>
    <row r="254">
      <c r="A254" s="23"/>
      <c r="B254" s="43"/>
      <c r="C254" s="43"/>
    </row>
    <row r="255">
      <c r="A255" s="23"/>
      <c r="B255" s="43"/>
      <c r="C255" s="43"/>
    </row>
    <row r="256">
      <c r="A256" s="23"/>
      <c r="B256" s="43"/>
      <c r="C256" s="43"/>
    </row>
    <row r="257">
      <c r="A257" s="23"/>
      <c r="B257" s="43"/>
      <c r="C257" s="43"/>
    </row>
    <row r="258">
      <c r="A258" s="23"/>
      <c r="B258" s="43"/>
      <c r="C258" s="43"/>
    </row>
    <row r="259">
      <c r="A259" s="23"/>
      <c r="B259" s="43"/>
      <c r="C259" s="43"/>
    </row>
    <row r="260">
      <c r="A260" s="23"/>
      <c r="B260" s="43"/>
      <c r="C260" s="43"/>
    </row>
    <row r="261">
      <c r="A261" s="23"/>
      <c r="B261" s="43"/>
      <c r="C261" s="43"/>
    </row>
    <row r="262">
      <c r="A262" s="23"/>
      <c r="B262" s="43"/>
      <c r="C262" s="43"/>
    </row>
    <row r="263">
      <c r="A263" s="23"/>
      <c r="B263" s="43"/>
      <c r="C263" s="43"/>
    </row>
    <row r="264">
      <c r="A264" s="23"/>
      <c r="B264" s="43"/>
      <c r="C264" s="43"/>
    </row>
    <row r="265">
      <c r="A265" s="23"/>
      <c r="B265" s="43"/>
      <c r="C265" s="43"/>
    </row>
    <row r="266">
      <c r="A266" s="23"/>
      <c r="B266" s="43"/>
      <c r="C266" s="43"/>
    </row>
    <row r="267">
      <c r="A267" s="23"/>
      <c r="B267" s="43"/>
      <c r="C267" s="43"/>
    </row>
    <row r="268">
      <c r="A268" s="23"/>
      <c r="B268" s="43"/>
      <c r="C268" s="43"/>
    </row>
    <row r="269">
      <c r="A269" s="23"/>
      <c r="B269" s="43"/>
      <c r="C269" s="43"/>
    </row>
    <row r="270">
      <c r="A270" s="23"/>
      <c r="B270" s="43"/>
      <c r="C270" s="43"/>
    </row>
    <row r="271">
      <c r="A271" s="23"/>
      <c r="B271" s="43"/>
      <c r="C271" s="43"/>
    </row>
    <row r="272">
      <c r="A272" s="23"/>
      <c r="B272" s="43"/>
      <c r="C272" s="43"/>
    </row>
    <row r="273">
      <c r="A273" s="23"/>
      <c r="B273" s="43"/>
      <c r="C273" s="43"/>
    </row>
    <row r="274">
      <c r="A274" s="23"/>
      <c r="B274" s="43"/>
      <c r="C274" s="43"/>
    </row>
    <row r="275">
      <c r="A275" s="23"/>
      <c r="B275" s="43"/>
      <c r="C275" s="43"/>
    </row>
    <row r="276">
      <c r="A276" s="23"/>
      <c r="B276" s="43"/>
      <c r="C276" s="43"/>
    </row>
    <row r="277">
      <c r="A277" s="23"/>
      <c r="B277" s="43"/>
      <c r="C277" s="43"/>
    </row>
    <row r="278">
      <c r="A278" s="23"/>
      <c r="B278" s="43"/>
      <c r="C278" s="43"/>
    </row>
    <row r="279">
      <c r="A279" s="23"/>
      <c r="B279" s="43"/>
      <c r="C279" s="43"/>
    </row>
    <row r="280">
      <c r="A280" s="23"/>
      <c r="B280" s="43"/>
      <c r="C280" s="43"/>
    </row>
    <row r="281">
      <c r="A281" s="23"/>
      <c r="B281" s="43"/>
      <c r="C281" s="43"/>
    </row>
    <row r="282">
      <c r="A282" s="23"/>
      <c r="B282" s="43"/>
      <c r="C282" s="43"/>
    </row>
    <row r="283">
      <c r="A283" s="23"/>
      <c r="B283" s="43"/>
      <c r="C283" s="43"/>
    </row>
    <row r="284">
      <c r="A284" s="23"/>
      <c r="B284" s="43"/>
      <c r="C284" s="43"/>
    </row>
    <row r="285">
      <c r="A285" s="23"/>
      <c r="B285" s="43"/>
      <c r="C285" s="43"/>
    </row>
    <row r="286">
      <c r="A286" s="23"/>
      <c r="B286" s="43"/>
      <c r="C286" s="43"/>
    </row>
    <row r="287">
      <c r="A287" s="23"/>
      <c r="B287" s="43"/>
      <c r="C287" s="43"/>
    </row>
    <row r="288">
      <c r="A288" s="23"/>
      <c r="B288" s="43"/>
      <c r="C288" s="43"/>
    </row>
    <row r="289">
      <c r="A289" s="23"/>
      <c r="B289" s="43"/>
      <c r="C289" s="43"/>
    </row>
    <row r="290">
      <c r="A290" s="23"/>
      <c r="B290" s="43"/>
      <c r="C290" s="43"/>
    </row>
    <row r="291">
      <c r="A291" s="23"/>
      <c r="B291" s="43"/>
      <c r="C291" s="43"/>
    </row>
    <row r="292">
      <c r="A292" s="23"/>
      <c r="B292" s="43"/>
      <c r="C292" s="43"/>
    </row>
    <row r="293">
      <c r="A293" s="23"/>
      <c r="B293" s="43"/>
      <c r="C293" s="43"/>
    </row>
    <row r="294">
      <c r="A294" s="23"/>
      <c r="B294" s="43"/>
      <c r="C294" s="43"/>
    </row>
    <row r="295">
      <c r="A295" s="23"/>
      <c r="B295" s="43"/>
      <c r="C295" s="43"/>
    </row>
    <row r="296">
      <c r="A296" s="23"/>
      <c r="B296" s="43"/>
      <c r="C296" s="43"/>
    </row>
    <row r="297">
      <c r="A297" s="23"/>
      <c r="B297" s="43"/>
      <c r="C297" s="43"/>
    </row>
    <row r="298">
      <c r="A298" s="23"/>
      <c r="B298" s="43"/>
      <c r="C298" s="43"/>
    </row>
    <row r="299">
      <c r="A299" s="23"/>
      <c r="B299" s="43"/>
      <c r="C299" s="43"/>
    </row>
    <row r="300">
      <c r="A300" s="23"/>
      <c r="B300" s="43"/>
      <c r="C300" s="43"/>
    </row>
    <row r="301">
      <c r="A301" s="23"/>
      <c r="B301" s="43"/>
      <c r="C301" s="43"/>
    </row>
    <row r="302">
      <c r="A302" s="23"/>
      <c r="B302" s="43"/>
      <c r="C302" s="43"/>
    </row>
    <row r="303">
      <c r="A303" s="23"/>
      <c r="B303" s="43"/>
      <c r="C303" s="43"/>
    </row>
    <row r="304">
      <c r="A304" s="23"/>
      <c r="B304" s="43"/>
      <c r="C304" s="43"/>
    </row>
    <row r="305">
      <c r="A305" s="23"/>
      <c r="B305" s="43"/>
      <c r="C305" s="43"/>
    </row>
    <row r="306">
      <c r="A306" s="23"/>
      <c r="B306" s="43"/>
      <c r="C306" s="43"/>
    </row>
    <row r="307">
      <c r="A307" s="23"/>
      <c r="B307" s="43"/>
      <c r="C307" s="43"/>
    </row>
    <row r="308">
      <c r="A308" s="23"/>
      <c r="B308" s="43"/>
      <c r="C308" s="43"/>
    </row>
    <row r="309">
      <c r="A309" s="23"/>
      <c r="B309" s="43"/>
      <c r="C309" s="43"/>
    </row>
    <row r="310">
      <c r="A310" s="23"/>
      <c r="B310" s="43"/>
      <c r="C310" s="43"/>
    </row>
    <row r="311">
      <c r="A311" s="23"/>
      <c r="B311" s="43"/>
      <c r="C311" s="43"/>
    </row>
    <row r="312">
      <c r="A312" s="23"/>
      <c r="B312" s="43"/>
      <c r="C312" s="43"/>
    </row>
    <row r="313">
      <c r="A313" s="23"/>
      <c r="B313" s="43"/>
      <c r="C313" s="43"/>
    </row>
    <row r="314">
      <c r="A314" s="23"/>
      <c r="B314" s="43"/>
      <c r="C314" s="43"/>
    </row>
    <row r="315">
      <c r="A315" s="23"/>
      <c r="B315" s="43"/>
      <c r="C315" s="43"/>
    </row>
    <row r="316">
      <c r="A316" s="23"/>
      <c r="B316" s="43"/>
      <c r="C316" s="43"/>
    </row>
    <row r="317">
      <c r="A317" s="23"/>
      <c r="B317" s="43"/>
      <c r="C317" s="43"/>
    </row>
    <row r="318">
      <c r="A318" s="23"/>
      <c r="B318" s="43"/>
      <c r="C318" s="43"/>
    </row>
    <row r="319">
      <c r="A319" s="23"/>
      <c r="B319" s="43"/>
      <c r="C319" s="43"/>
    </row>
    <row r="320">
      <c r="A320" s="23"/>
      <c r="B320" s="43"/>
      <c r="C320" s="43"/>
    </row>
    <row r="321">
      <c r="A321" s="23"/>
      <c r="B321" s="43"/>
      <c r="C321" s="43"/>
    </row>
    <row r="322">
      <c r="A322" s="23"/>
      <c r="B322" s="43"/>
      <c r="C322" s="43"/>
    </row>
    <row r="323">
      <c r="A323" s="23"/>
      <c r="B323" s="43"/>
      <c r="C323" s="43"/>
    </row>
    <row r="324">
      <c r="A324" s="23"/>
      <c r="B324" s="43"/>
      <c r="C324" s="43"/>
    </row>
    <row r="325">
      <c r="A325" s="23"/>
      <c r="B325" s="43"/>
      <c r="C325" s="43"/>
    </row>
    <row r="326">
      <c r="A326" s="23"/>
      <c r="B326" s="43"/>
      <c r="C326" s="43"/>
    </row>
    <row r="327">
      <c r="A327" s="23"/>
      <c r="B327" s="43"/>
      <c r="C327" s="43"/>
    </row>
    <row r="328">
      <c r="A328" s="23"/>
      <c r="B328" s="43"/>
      <c r="C328" s="43"/>
    </row>
    <row r="329">
      <c r="A329" s="23"/>
      <c r="B329" s="43"/>
      <c r="C329" s="43"/>
    </row>
    <row r="330">
      <c r="A330" s="23"/>
      <c r="B330" s="43"/>
      <c r="C330" s="43"/>
    </row>
    <row r="331">
      <c r="A331" s="23"/>
      <c r="B331" s="43"/>
      <c r="C331" s="43"/>
    </row>
    <row r="332">
      <c r="A332" s="23"/>
      <c r="B332" s="43"/>
      <c r="C332" s="43"/>
    </row>
    <row r="333">
      <c r="A333" s="23"/>
      <c r="B333" s="43"/>
      <c r="C333" s="43"/>
    </row>
    <row r="334">
      <c r="A334" s="23"/>
      <c r="B334" s="43"/>
      <c r="C334" s="43"/>
    </row>
    <row r="335">
      <c r="A335" s="23"/>
      <c r="B335" s="43"/>
      <c r="C335" s="43"/>
    </row>
    <row r="336">
      <c r="A336" s="23"/>
      <c r="B336" s="43"/>
      <c r="C336" s="43"/>
    </row>
    <row r="337">
      <c r="A337" s="23"/>
      <c r="B337" s="43"/>
      <c r="C337" s="43"/>
    </row>
    <row r="338">
      <c r="A338" s="23"/>
      <c r="B338" s="43"/>
      <c r="C338" s="43"/>
    </row>
    <row r="339">
      <c r="A339" s="23"/>
      <c r="B339" s="43"/>
      <c r="C339" s="43"/>
    </row>
    <row r="340">
      <c r="A340" s="23"/>
      <c r="B340" s="43"/>
      <c r="C340" s="43"/>
    </row>
    <row r="341">
      <c r="A341" s="23"/>
      <c r="B341" s="43"/>
      <c r="C341" s="43"/>
    </row>
    <row r="342">
      <c r="A342" s="23"/>
      <c r="B342" s="43"/>
      <c r="C342" s="43"/>
    </row>
    <row r="343">
      <c r="A343" s="23"/>
      <c r="B343" s="43"/>
      <c r="C343" s="43"/>
    </row>
    <row r="344">
      <c r="A344" s="23"/>
      <c r="B344" s="43"/>
      <c r="C344" s="43"/>
    </row>
    <row r="345">
      <c r="A345" s="23"/>
      <c r="B345" s="43"/>
      <c r="C345" s="43"/>
    </row>
    <row r="346">
      <c r="A346" s="23"/>
      <c r="B346" s="43"/>
      <c r="C346" s="43"/>
    </row>
    <row r="347">
      <c r="A347" s="23"/>
      <c r="B347" s="43"/>
      <c r="C347" s="43"/>
    </row>
    <row r="348">
      <c r="A348" s="23"/>
      <c r="B348" s="43"/>
      <c r="C348" s="43"/>
    </row>
    <row r="349">
      <c r="A349" s="23"/>
      <c r="B349" s="43"/>
      <c r="C349" s="43"/>
    </row>
    <row r="350">
      <c r="A350" s="23"/>
      <c r="B350" s="43"/>
      <c r="C350" s="43"/>
    </row>
    <row r="351">
      <c r="A351" s="23"/>
      <c r="B351" s="43"/>
      <c r="C351" s="43"/>
    </row>
    <row r="352">
      <c r="A352" s="23"/>
      <c r="B352" s="43"/>
      <c r="C352" s="43"/>
    </row>
    <row r="353">
      <c r="A353" s="23"/>
      <c r="B353" s="43"/>
      <c r="C353" s="43"/>
    </row>
    <row r="354">
      <c r="A354" s="23"/>
      <c r="B354" s="43"/>
      <c r="C354" s="43"/>
    </row>
    <row r="355">
      <c r="A355" s="23"/>
      <c r="B355" s="43"/>
      <c r="C355" s="43"/>
    </row>
    <row r="356">
      <c r="A356" s="23"/>
      <c r="B356" s="43"/>
      <c r="C356" s="43"/>
    </row>
    <row r="357">
      <c r="A357" s="23"/>
      <c r="B357" s="43"/>
      <c r="C357" s="43"/>
    </row>
    <row r="358">
      <c r="A358" s="23"/>
      <c r="B358" s="43"/>
      <c r="C358" s="43"/>
    </row>
    <row r="359">
      <c r="A359" s="23"/>
      <c r="B359" s="43"/>
      <c r="C359" s="43"/>
    </row>
    <row r="360">
      <c r="A360" s="23"/>
      <c r="B360" s="43"/>
      <c r="C360" s="43"/>
    </row>
    <row r="361">
      <c r="A361" s="23"/>
      <c r="B361" s="43"/>
      <c r="C361" s="43"/>
    </row>
    <row r="362">
      <c r="A362" s="23"/>
      <c r="B362" s="43"/>
      <c r="C362" s="43"/>
    </row>
    <row r="363">
      <c r="A363" s="23"/>
      <c r="B363" s="43"/>
      <c r="C363" s="43"/>
    </row>
    <row r="364">
      <c r="A364" s="23"/>
      <c r="B364" s="43"/>
      <c r="C364" s="43"/>
    </row>
    <row r="365">
      <c r="A365" s="23"/>
      <c r="B365" s="43"/>
      <c r="C365" s="43"/>
    </row>
    <row r="366">
      <c r="A366" s="23"/>
      <c r="B366" s="43"/>
      <c r="C366" s="43"/>
    </row>
    <row r="367">
      <c r="A367" s="23"/>
      <c r="B367" s="43"/>
      <c r="C367" s="43"/>
    </row>
    <row r="368">
      <c r="A368" s="23"/>
      <c r="B368" s="43"/>
      <c r="C368" s="43"/>
    </row>
    <row r="369">
      <c r="A369" s="23"/>
      <c r="B369" s="43"/>
      <c r="C369" s="43"/>
    </row>
    <row r="370">
      <c r="A370" s="23"/>
      <c r="B370" s="43"/>
      <c r="C370" s="43"/>
    </row>
    <row r="371">
      <c r="A371" s="23"/>
      <c r="B371" s="43"/>
      <c r="C371" s="43"/>
    </row>
    <row r="372">
      <c r="A372" s="23"/>
      <c r="B372" s="43"/>
      <c r="C372" s="43"/>
    </row>
    <row r="373">
      <c r="A373" s="23"/>
      <c r="B373" s="43"/>
      <c r="C373" s="43"/>
    </row>
    <row r="374">
      <c r="A374" s="23"/>
      <c r="B374" s="43"/>
      <c r="C374" s="43"/>
    </row>
    <row r="375">
      <c r="A375" s="23"/>
      <c r="B375" s="43"/>
      <c r="C375" s="43"/>
    </row>
    <row r="376">
      <c r="A376" s="23"/>
      <c r="B376" s="43"/>
      <c r="C376" s="43"/>
    </row>
    <row r="377">
      <c r="A377" s="23"/>
      <c r="B377" s="43"/>
      <c r="C377" s="43"/>
    </row>
    <row r="378">
      <c r="A378" s="23"/>
      <c r="B378" s="43"/>
      <c r="C378" s="43"/>
    </row>
    <row r="379">
      <c r="A379" s="23"/>
      <c r="B379" s="43"/>
      <c r="C379" s="43"/>
    </row>
    <row r="380">
      <c r="A380" s="23"/>
      <c r="B380" s="43"/>
      <c r="C380" s="43"/>
    </row>
    <row r="381">
      <c r="A381" s="23"/>
      <c r="B381" s="43"/>
      <c r="C381" s="43"/>
    </row>
    <row r="382">
      <c r="A382" s="23"/>
      <c r="B382" s="43"/>
      <c r="C382" s="43"/>
    </row>
    <row r="383">
      <c r="A383" s="23"/>
      <c r="B383" s="43"/>
      <c r="C383" s="43"/>
    </row>
    <row r="384">
      <c r="A384" s="23"/>
      <c r="B384" s="43"/>
      <c r="C384" s="43"/>
    </row>
    <row r="385">
      <c r="A385" s="23"/>
      <c r="B385" s="43"/>
      <c r="C385" s="43"/>
    </row>
    <row r="386">
      <c r="A386" s="23"/>
      <c r="B386" s="43"/>
      <c r="C386" s="43"/>
    </row>
    <row r="387">
      <c r="A387" s="23"/>
      <c r="B387" s="43"/>
      <c r="C387" s="43"/>
    </row>
    <row r="388">
      <c r="A388" s="23"/>
      <c r="B388" s="43"/>
      <c r="C388" s="43"/>
    </row>
    <row r="389">
      <c r="A389" s="23"/>
      <c r="B389" s="43"/>
      <c r="C389" s="43"/>
    </row>
    <row r="390">
      <c r="A390" s="23"/>
      <c r="B390" s="43"/>
      <c r="C390" s="43"/>
    </row>
    <row r="391">
      <c r="A391" s="23"/>
      <c r="B391" s="43"/>
      <c r="C391" s="43"/>
    </row>
    <row r="392">
      <c r="A392" s="23"/>
      <c r="B392" s="43"/>
      <c r="C392" s="43"/>
    </row>
    <row r="393">
      <c r="A393" s="23"/>
      <c r="B393" s="43"/>
      <c r="C393" s="43"/>
    </row>
    <row r="394">
      <c r="A394" s="23"/>
      <c r="B394" s="43"/>
      <c r="C394" s="43"/>
    </row>
    <row r="395">
      <c r="A395" s="23"/>
      <c r="B395" s="43"/>
      <c r="C395" s="43"/>
    </row>
    <row r="396">
      <c r="A396" s="23"/>
      <c r="B396" s="43"/>
      <c r="C396" s="43"/>
    </row>
    <row r="397">
      <c r="A397" s="23"/>
      <c r="B397" s="43"/>
      <c r="C397" s="43"/>
    </row>
    <row r="398">
      <c r="A398" s="23"/>
      <c r="B398" s="43"/>
      <c r="C398" s="43"/>
    </row>
    <row r="399">
      <c r="A399" s="23"/>
      <c r="B399" s="43"/>
      <c r="C399" s="43"/>
    </row>
    <row r="400">
      <c r="A400" s="23"/>
      <c r="B400" s="43"/>
      <c r="C400" s="43"/>
    </row>
    <row r="401">
      <c r="A401" s="23"/>
      <c r="B401" s="43"/>
      <c r="C401" s="43"/>
    </row>
    <row r="402">
      <c r="A402" s="23"/>
      <c r="B402" s="43"/>
      <c r="C402" s="43"/>
    </row>
    <row r="403">
      <c r="A403" s="23"/>
      <c r="B403" s="43"/>
      <c r="C403" s="43"/>
    </row>
    <row r="404">
      <c r="A404" s="23"/>
      <c r="B404" s="43"/>
      <c r="C404" s="43"/>
    </row>
    <row r="405">
      <c r="A405" s="23"/>
      <c r="B405" s="43"/>
      <c r="C405" s="43"/>
    </row>
    <row r="406">
      <c r="A406" s="23"/>
      <c r="B406" s="43"/>
      <c r="C406" s="43"/>
    </row>
    <row r="407">
      <c r="A407" s="23"/>
      <c r="B407" s="43"/>
      <c r="C407" s="43"/>
    </row>
    <row r="408">
      <c r="A408" s="23"/>
      <c r="B408" s="43"/>
      <c r="C408" s="43"/>
    </row>
    <row r="409">
      <c r="A409" s="23"/>
      <c r="B409" s="43"/>
      <c r="C409" s="43"/>
    </row>
    <row r="410">
      <c r="A410" s="23"/>
      <c r="B410" s="43"/>
      <c r="C410" s="43"/>
    </row>
    <row r="411">
      <c r="A411" s="23"/>
      <c r="B411" s="43"/>
      <c r="C411" s="43"/>
    </row>
    <row r="412">
      <c r="A412" s="23"/>
      <c r="B412" s="43"/>
      <c r="C412" s="43"/>
    </row>
    <row r="413">
      <c r="A413" s="23"/>
      <c r="B413" s="43"/>
      <c r="C413" s="43"/>
    </row>
    <row r="414">
      <c r="A414" s="23"/>
      <c r="B414" s="43"/>
      <c r="C414" s="43"/>
    </row>
    <row r="415">
      <c r="A415" s="23"/>
      <c r="B415" s="43"/>
      <c r="C415" s="43"/>
    </row>
    <row r="416">
      <c r="A416" s="23"/>
      <c r="B416" s="43"/>
      <c r="C416" s="43"/>
    </row>
    <row r="417">
      <c r="A417" s="23"/>
      <c r="B417" s="43"/>
      <c r="C417" s="43"/>
    </row>
    <row r="418">
      <c r="A418" s="23"/>
      <c r="B418" s="43"/>
      <c r="C418" s="43"/>
    </row>
    <row r="419">
      <c r="A419" s="23"/>
      <c r="B419" s="43"/>
      <c r="C419" s="43"/>
    </row>
    <row r="420">
      <c r="A420" s="23"/>
      <c r="B420" s="43"/>
      <c r="C420" s="43"/>
    </row>
    <row r="421">
      <c r="A421" s="23"/>
      <c r="B421" s="43"/>
      <c r="C421" s="43"/>
    </row>
    <row r="422">
      <c r="A422" s="23"/>
      <c r="B422" s="43"/>
      <c r="C422" s="43"/>
    </row>
    <row r="423">
      <c r="A423" s="23"/>
      <c r="B423" s="43"/>
      <c r="C423" s="43"/>
    </row>
    <row r="424">
      <c r="A424" s="23"/>
      <c r="B424" s="43"/>
      <c r="C424" s="43"/>
    </row>
    <row r="425">
      <c r="A425" s="23"/>
      <c r="B425" s="43"/>
      <c r="C425" s="43"/>
    </row>
    <row r="426">
      <c r="A426" s="23"/>
      <c r="B426" s="43"/>
      <c r="C426" s="43"/>
    </row>
    <row r="427">
      <c r="A427" s="23"/>
      <c r="B427" s="43"/>
      <c r="C427" s="43"/>
    </row>
    <row r="428">
      <c r="A428" s="23"/>
      <c r="B428" s="43"/>
      <c r="C428" s="43"/>
    </row>
    <row r="429">
      <c r="A429" s="23"/>
      <c r="B429" s="43"/>
      <c r="C429" s="43"/>
    </row>
    <row r="430">
      <c r="A430" s="23"/>
      <c r="B430" s="43"/>
      <c r="C430" s="43"/>
    </row>
    <row r="431">
      <c r="A431" s="23"/>
      <c r="B431" s="43"/>
      <c r="C431" s="43"/>
    </row>
    <row r="432">
      <c r="A432" s="23"/>
      <c r="B432" s="43"/>
      <c r="C432" s="43"/>
    </row>
    <row r="433">
      <c r="A433" s="23"/>
      <c r="B433" s="43"/>
      <c r="C433" s="43"/>
    </row>
    <row r="434">
      <c r="A434" s="23"/>
      <c r="B434" s="43"/>
      <c r="C434" s="43"/>
    </row>
    <row r="435">
      <c r="A435" s="23"/>
      <c r="B435" s="43"/>
      <c r="C435" s="43"/>
    </row>
    <row r="436">
      <c r="A436" s="23"/>
      <c r="B436" s="43"/>
      <c r="C436" s="43"/>
    </row>
    <row r="437">
      <c r="A437" s="23"/>
      <c r="B437" s="43"/>
      <c r="C437" s="43"/>
    </row>
    <row r="438">
      <c r="A438" s="23"/>
      <c r="B438" s="43"/>
      <c r="C438" s="43"/>
    </row>
    <row r="439">
      <c r="A439" s="23"/>
      <c r="B439" s="43"/>
      <c r="C439" s="43"/>
    </row>
    <row r="440">
      <c r="A440" s="23"/>
      <c r="B440" s="43"/>
      <c r="C440" s="43"/>
    </row>
    <row r="441">
      <c r="A441" s="23"/>
      <c r="B441" s="43"/>
      <c r="C441" s="43"/>
    </row>
    <row r="442">
      <c r="A442" s="23"/>
      <c r="B442" s="43"/>
      <c r="C442" s="43"/>
    </row>
    <row r="443">
      <c r="A443" s="23"/>
      <c r="B443" s="43"/>
      <c r="C443" s="43"/>
    </row>
    <row r="444">
      <c r="A444" s="23"/>
      <c r="B444" s="43"/>
      <c r="C444" s="43"/>
    </row>
    <row r="445">
      <c r="A445" s="23"/>
      <c r="B445" s="43"/>
      <c r="C445" s="43"/>
    </row>
    <row r="446">
      <c r="A446" s="23"/>
      <c r="B446" s="43"/>
      <c r="C446" s="43"/>
    </row>
    <row r="447">
      <c r="A447" s="23"/>
      <c r="B447" s="43"/>
      <c r="C447" s="43"/>
    </row>
    <row r="448">
      <c r="A448" s="23"/>
      <c r="B448" s="43"/>
      <c r="C448" s="43"/>
    </row>
    <row r="449">
      <c r="A449" s="23"/>
      <c r="B449" s="43"/>
      <c r="C449" s="43"/>
    </row>
    <row r="450">
      <c r="A450" s="23"/>
      <c r="B450" s="43"/>
      <c r="C450" s="43"/>
    </row>
    <row r="451">
      <c r="A451" s="23"/>
      <c r="B451" s="43"/>
      <c r="C451" s="43"/>
    </row>
    <row r="452">
      <c r="A452" s="23"/>
      <c r="B452" s="43"/>
      <c r="C452" s="43"/>
    </row>
    <row r="453">
      <c r="A453" s="23"/>
      <c r="B453" s="43"/>
      <c r="C453" s="43"/>
    </row>
    <row r="454">
      <c r="A454" s="23"/>
      <c r="B454" s="43"/>
      <c r="C454" s="43"/>
    </row>
    <row r="455">
      <c r="A455" s="23"/>
      <c r="B455" s="43"/>
      <c r="C455" s="43"/>
    </row>
    <row r="456">
      <c r="A456" s="23"/>
      <c r="B456" s="43"/>
      <c r="C456" s="43"/>
    </row>
    <row r="457">
      <c r="A457" s="23"/>
      <c r="B457" s="43"/>
      <c r="C457" s="43"/>
    </row>
    <row r="458">
      <c r="A458" s="23"/>
      <c r="B458" s="43"/>
      <c r="C458" s="43"/>
    </row>
    <row r="459">
      <c r="A459" s="23"/>
      <c r="B459" s="43"/>
      <c r="C459" s="43"/>
    </row>
    <row r="460">
      <c r="A460" s="23"/>
      <c r="B460" s="43"/>
      <c r="C460" s="43"/>
    </row>
    <row r="461">
      <c r="A461" s="23"/>
      <c r="B461" s="43"/>
      <c r="C461" s="43"/>
    </row>
    <row r="462">
      <c r="A462" s="23"/>
      <c r="B462" s="43"/>
      <c r="C462" s="43"/>
    </row>
    <row r="463">
      <c r="A463" s="23"/>
      <c r="B463" s="43"/>
      <c r="C463" s="43"/>
    </row>
    <row r="464">
      <c r="A464" s="23"/>
      <c r="B464" s="43"/>
      <c r="C464" s="43"/>
    </row>
    <row r="465">
      <c r="A465" s="23"/>
      <c r="B465" s="43"/>
      <c r="C465" s="43"/>
    </row>
    <row r="466">
      <c r="A466" s="23"/>
      <c r="B466" s="43"/>
      <c r="C466" s="43"/>
    </row>
    <row r="467">
      <c r="A467" s="23"/>
      <c r="B467" s="43"/>
      <c r="C467" s="43"/>
    </row>
    <row r="468">
      <c r="A468" s="23"/>
      <c r="B468" s="43"/>
      <c r="C468" s="43"/>
    </row>
    <row r="469">
      <c r="A469" s="23"/>
      <c r="B469" s="43"/>
      <c r="C469" s="43"/>
    </row>
    <row r="470">
      <c r="A470" s="23"/>
      <c r="B470" s="43"/>
      <c r="C470" s="43"/>
    </row>
    <row r="471">
      <c r="A471" s="23"/>
      <c r="B471" s="43"/>
      <c r="C471" s="43"/>
    </row>
    <row r="472">
      <c r="A472" s="23"/>
      <c r="B472" s="43"/>
      <c r="C472" s="43"/>
    </row>
    <row r="473">
      <c r="A473" s="23"/>
      <c r="B473" s="43"/>
      <c r="C473" s="43"/>
    </row>
    <row r="474">
      <c r="A474" s="23"/>
      <c r="B474" s="43"/>
      <c r="C474" s="43"/>
    </row>
    <row r="475">
      <c r="A475" s="23"/>
      <c r="B475" s="43"/>
      <c r="C475" s="43"/>
    </row>
    <row r="476">
      <c r="A476" s="23"/>
      <c r="B476" s="43"/>
      <c r="C476" s="43"/>
    </row>
    <row r="477">
      <c r="A477" s="23"/>
      <c r="B477" s="43"/>
      <c r="C477" s="43"/>
    </row>
    <row r="478">
      <c r="A478" s="23"/>
      <c r="B478" s="43"/>
      <c r="C478" s="43"/>
    </row>
    <row r="479">
      <c r="A479" s="23"/>
      <c r="B479" s="43"/>
      <c r="C479" s="43"/>
    </row>
    <row r="480">
      <c r="A480" s="23"/>
      <c r="B480" s="43"/>
      <c r="C480" s="43"/>
    </row>
    <row r="481">
      <c r="A481" s="23"/>
      <c r="B481" s="43"/>
      <c r="C481" s="43"/>
    </row>
    <row r="482">
      <c r="A482" s="23"/>
      <c r="B482" s="43"/>
      <c r="C482" s="43"/>
    </row>
    <row r="483">
      <c r="A483" s="23"/>
      <c r="B483" s="43"/>
      <c r="C483" s="43"/>
    </row>
    <row r="484">
      <c r="A484" s="23"/>
      <c r="B484" s="43"/>
      <c r="C484" s="43"/>
    </row>
    <row r="485">
      <c r="A485" s="23"/>
      <c r="B485" s="43"/>
      <c r="C485" s="43"/>
    </row>
    <row r="486">
      <c r="A486" s="23"/>
      <c r="B486" s="43"/>
      <c r="C486" s="43"/>
    </row>
    <row r="487">
      <c r="A487" s="23"/>
      <c r="B487" s="43"/>
      <c r="C487" s="43"/>
    </row>
    <row r="488">
      <c r="A488" s="23"/>
      <c r="B488" s="43"/>
      <c r="C488" s="43"/>
    </row>
    <row r="489">
      <c r="A489" s="23"/>
      <c r="B489" s="43"/>
      <c r="C489" s="43"/>
    </row>
    <row r="490">
      <c r="A490" s="23"/>
      <c r="B490" s="43"/>
      <c r="C490" s="43"/>
    </row>
    <row r="491">
      <c r="A491" s="23"/>
      <c r="B491" s="43"/>
      <c r="C491" s="43"/>
    </row>
    <row r="492">
      <c r="A492" s="23"/>
      <c r="B492" s="43"/>
      <c r="C492" s="43"/>
    </row>
    <row r="493">
      <c r="A493" s="23"/>
      <c r="B493" s="43"/>
      <c r="C493" s="43"/>
    </row>
    <row r="494">
      <c r="A494" s="23"/>
      <c r="B494" s="43"/>
      <c r="C494" s="43"/>
    </row>
    <row r="495">
      <c r="A495" s="23"/>
      <c r="B495" s="43"/>
      <c r="C495" s="43"/>
    </row>
    <row r="496">
      <c r="A496" s="23"/>
      <c r="B496" s="43"/>
      <c r="C496" s="43"/>
    </row>
    <row r="497">
      <c r="A497" s="23"/>
      <c r="B497" s="43"/>
      <c r="C497" s="43"/>
    </row>
    <row r="498">
      <c r="A498" s="23"/>
      <c r="B498" s="43"/>
      <c r="C498" s="43"/>
    </row>
    <row r="499">
      <c r="A499" s="23"/>
      <c r="B499" s="43"/>
      <c r="C499" s="43"/>
    </row>
    <row r="500">
      <c r="A500" s="23"/>
      <c r="B500" s="43"/>
      <c r="C500" s="43"/>
    </row>
    <row r="501">
      <c r="A501" s="23"/>
      <c r="B501" s="43"/>
      <c r="C501" s="43"/>
    </row>
    <row r="502">
      <c r="A502" s="23"/>
      <c r="B502" s="43"/>
      <c r="C502" s="43"/>
    </row>
    <row r="503">
      <c r="A503" s="23"/>
      <c r="B503" s="43"/>
      <c r="C503" s="43"/>
    </row>
    <row r="504">
      <c r="A504" s="23"/>
      <c r="B504" s="43"/>
      <c r="C504" s="43"/>
    </row>
    <row r="505">
      <c r="A505" s="23"/>
      <c r="B505" s="43"/>
      <c r="C505" s="43"/>
    </row>
    <row r="506">
      <c r="A506" s="23"/>
      <c r="B506" s="43"/>
      <c r="C506" s="43"/>
    </row>
    <row r="507">
      <c r="A507" s="23"/>
      <c r="B507" s="43"/>
      <c r="C507" s="43"/>
    </row>
    <row r="508">
      <c r="A508" s="23"/>
      <c r="B508" s="43"/>
      <c r="C508" s="43"/>
    </row>
    <row r="509">
      <c r="A509" s="23"/>
      <c r="B509" s="43"/>
      <c r="C509" s="43"/>
    </row>
    <row r="510">
      <c r="A510" s="23"/>
      <c r="B510" s="43"/>
      <c r="C510" s="43"/>
    </row>
    <row r="511">
      <c r="A511" s="23"/>
      <c r="B511" s="43"/>
      <c r="C511" s="43"/>
    </row>
    <row r="512">
      <c r="A512" s="23"/>
      <c r="B512" s="43"/>
      <c r="C512" s="43"/>
    </row>
    <row r="513">
      <c r="A513" s="23"/>
      <c r="B513" s="43"/>
      <c r="C513" s="43"/>
    </row>
    <row r="514">
      <c r="A514" s="23"/>
      <c r="B514" s="43"/>
      <c r="C514" s="43"/>
    </row>
    <row r="515">
      <c r="A515" s="23"/>
      <c r="B515" s="43"/>
      <c r="C515" s="43"/>
    </row>
    <row r="516">
      <c r="A516" s="23"/>
      <c r="B516" s="43"/>
      <c r="C516" s="43"/>
    </row>
    <row r="517">
      <c r="A517" s="23"/>
      <c r="B517" s="43"/>
      <c r="C517" s="43"/>
    </row>
    <row r="518">
      <c r="A518" s="23"/>
      <c r="B518" s="43"/>
      <c r="C518" s="43"/>
    </row>
    <row r="519">
      <c r="A519" s="23"/>
      <c r="B519" s="43"/>
      <c r="C519" s="43"/>
    </row>
    <row r="520">
      <c r="A520" s="23"/>
      <c r="B520" s="43"/>
      <c r="C520" s="43"/>
    </row>
    <row r="521">
      <c r="A521" s="23"/>
      <c r="B521" s="43"/>
      <c r="C521" s="43"/>
    </row>
    <row r="522">
      <c r="A522" s="23"/>
      <c r="B522" s="43"/>
      <c r="C522" s="43"/>
    </row>
    <row r="523">
      <c r="A523" s="23"/>
      <c r="B523" s="43"/>
      <c r="C523" s="43"/>
    </row>
    <row r="524">
      <c r="A524" s="23"/>
      <c r="B524" s="43"/>
      <c r="C524" s="43"/>
    </row>
    <row r="525">
      <c r="A525" s="23"/>
      <c r="B525" s="43"/>
      <c r="C525" s="43"/>
    </row>
    <row r="526">
      <c r="A526" s="23"/>
      <c r="B526" s="43"/>
      <c r="C526" s="43"/>
    </row>
    <row r="527">
      <c r="A527" s="23"/>
      <c r="B527" s="43"/>
      <c r="C527" s="43"/>
    </row>
    <row r="528">
      <c r="A528" s="23"/>
      <c r="B528" s="43"/>
      <c r="C528" s="43"/>
    </row>
    <row r="529">
      <c r="A529" s="23"/>
      <c r="B529" s="43"/>
      <c r="C529" s="43"/>
    </row>
    <row r="530">
      <c r="A530" s="23"/>
      <c r="B530" s="43"/>
      <c r="C530" s="43"/>
    </row>
    <row r="531">
      <c r="A531" s="23"/>
      <c r="B531" s="43"/>
      <c r="C531" s="43"/>
    </row>
    <row r="532">
      <c r="A532" s="23"/>
      <c r="B532" s="43"/>
      <c r="C532" s="43"/>
    </row>
    <row r="533">
      <c r="A533" s="23"/>
      <c r="B533" s="43"/>
      <c r="C533" s="43"/>
    </row>
    <row r="534">
      <c r="A534" s="23"/>
      <c r="B534" s="43"/>
      <c r="C534" s="43"/>
    </row>
    <row r="535">
      <c r="A535" s="23"/>
      <c r="B535" s="43"/>
      <c r="C535" s="43"/>
    </row>
    <row r="536">
      <c r="A536" s="23"/>
      <c r="B536" s="43"/>
      <c r="C536" s="43"/>
    </row>
    <row r="537">
      <c r="A537" s="23"/>
      <c r="B537" s="43"/>
      <c r="C537" s="43"/>
    </row>
    <row r="538">
      <c r="A538" s="23"/>
      <c r="B538" s="43"/>
      <c r="C538" s="43"/>
    </row>
    <row r="539">
      <c r="A539" s="23"/>
      <c r="B539" s="43"/>
      <c r="C539" s="43"/>
    </row>
    <row r="540">
      <c r="A540" s="23"/>
      <c r="B540" s="43"/>
      <c r="C540" s="43"/>
    </row>
    <row r="541">
      <c r="A541" s="23"/>
      <c r="B541" s="43"/>
      <c r="C541" s="43"/>
    </row>
    <row r="542">
      <c r="A542" s="23"/>
      <c r="B542" s="43"/>
      <c r="C542" s="43"/>
    </row>
    <row r="543">
      <c r="A543" s="23"/>
      <c r="B543" s="43"/>
      <c r="C543" s="43"/>
    </row>
    <row r="544">
      <c r="A544" s="23"/>
      <c r="B544" s="43"/>
      <c r="C544" s="43"/>
    </row>
    <row r="545">
      <c r="A545" s="23"/>
      <c r="B545" s="43"/>
      <c r="C545" s="43"/>
    </row>
    <row r="546">
      <c r="A546" s="23"/>
      <c r="B546" s="43"/>
      <c r="C546" s="43"/>
    </row>
    <row r="547">
      <c r="A547" s="23"/>
      <c r="B547" s="43"/>
      <c r="C547" s="43"/>
    </row>
    <row r="548">
      <c r="A548" s="23"/>
      <c r="B548" s="43"/>
      <c r="C548" s="43"/>
    </row>
    <row r="549">
      <c r="A549" s="23"/>
      <c r="B549" s="43"/>
      <c r="C549" s="43"/>
    </row>
    <row r="550">
      <c r="A550" s="23"/>
      <c r="B550" s="43"/>
      <c r="C550" s="43"/>
    </row>
    <row r="551">
      <c r="A551" s="23"/>
      <c r="B551" s="43"/>
      <c r="C551" s="43"/>
    </row>
    <row r="552">
      <c r="A552" s="23"/>
      <c r="B552" s="43"/>
      <c r="C552" s="43"/>
    </row>
    <row r="553">
      <c r="A553" s="23"/>
      <c r="B553" s="43"/>
      <c r="C553" s="43"/>
    </row>
    <row r="554">
      <c r="A554" s="23"/>
      <c r="B554" s="43"/>
      <c r="C554" s="43"/>
    </row>
    <row r="555">
      <c r="A555" s="23"/>
      <c r="B555" s="43"/>
      <c r="C555" s="43"/>
    </row>
    <row r="556">
      <c r="A556" s="23"/>
      <c r="B556" s="43"/>
      <c r="C556" s="43"/>
    </row>
    <row r="557">
      <c r="A557" s="23"/>
      <c r="B557" s="43"/>
      <c r="C557" s="43"/>
    </row>
    <row r="558">
      <c r="A558" s="23"/>
      <c r="B558" s="43"/>
      <c r="C558" s="43"/>
    </row>
    <row r="559">
      <c r="A559" s="23"/>
      <c r="B559" s="43"/>
      <c r="C559" s="43"/>
    </row>
    <row r="560">
      <c r="A560" s="23"/>
      <c r="B560" s="43"/>
      <c r="C560" s="43"/>
    </row>
    <row r="561">
      <c r="A561" s="23"/>
      <c r="B561" s="43"/>
      <c r="C561" s="43"/>
    </row>
    <row r="562">
      <c r="A562" s="23"/>
      <c r="B562" s="43"/>
      <c r="C562" s="43"/>
    </row>
    <row r="563">
      <c r="A563" s="23"/>
      <c r="B563" s="43"/>
      <c r="C563" s="43"/>
    </row>
    <row r="564">
      <c r="A564" s="23"/>
      <c r="B564" s="43"/>
      <c r="C564" s="43"/>
    </row>
    <row r="565">
      <c r="A565" s="23"/>
      <c r="B565" s="43"/>
      <c r="C565" s="43"/>
    </row>
    <row r="566">
      <c r="A566" s="23"/>
      <c r="B566" s="43"/>
      <c r="C566" s="43"/>
    </row>
    <row r="567">
      <c r="A567" s="23"/>
      <c r="B567" s="43"/>
      <c r="C567" s="43"/>
    </row>
    <row r="568">
      <c r="A568" s="23"/>
      <c r="B568" s="43"/>
      <c r="C568" s="43"/>
    </row>
    <row r="569">
      <c r="A569" s="23"/>
      <c r="B569" s="43"/>
      <c r="C569" s="43"/>
    </row>
    <row r="570">
      <c r="A570" s="23"/>
      <c r="B570" s="43"/>
      <c r="C570" s="43"/>
    </row>
    <row r="571">
      <c r="A571" s="23"/>
      <c r="B571" s="43"/>
      <c r="C571" s="43"/>
    </row>
    <row r="572">
      <c r="A572" s="23"/>
      <c r="B572" s="43"/>
      <c r="C572" s="43"/>
    </row>
    <row r="573">
      <c r="A573" s="23"/>
      <c r="B573" s="43"/>
      <c r="C573" s="43"/>
    </row>
    <row r="574">
      <c r="A574" s="23"/>
      <c r="B574" s="43"/>
      <c r="C574" s="43"/>
    </row>
    <row r="575">
      <c r="A575" s="23"/>
      <c r="B575" s="43"/>
      <c r="C575" s="43"/>
    </row>
    <row r="576">
      <c r="A576" s="23"/>
      <c r="B576" s="43"/>
      <c r="C576" s="43"/>
    </row>
    <row r="577">
      <c r="A577" s="23"/>
      <c r="B577" s="43"/>
      <c r="C577" s="43"/>
    </row>
    <row r="578">
      <c r="A578" s="23"/>
      <c r="B578" s="43"/>
      <c r="C578" s="43"/>
    </row>
    <row r="579">
      <c r="A579" s="23"/>
      <c r="B579" s="43"/>
      <c r="C579" s="43"/>
    </row>
    <row r="580">
      <c r="A580" s="23"/>
      <c r="B580" s="43"/>
      <c r="C580" s="43"/>
    </row>
    <row r="581">
      <c r="A581" s="23"/>
      <c r="B581" s="43"/>
      <c r="C581" s="43"/>
    </row>
    <row r="582">
      <c r="A582" s="23"/>
      <c r="B582" s="43"/>
      <c r="C582" s="43"/>
    </row>
    <row r="583">
      <c r="A583" s="23"/>
      <c r="B583" s="43"/>
      <c r="C583" s="43"/>
    </row>
    <row r="584">
      <c r="A584" s="23"/>
      <c r="B584" s="43"/>
      <c r="C584" s="43"/>
    </row>
    <row r="585">
      <c r="A585" s="23"/>
      <c r="B585" s="43"/>
      <c r="C585" s="43"/>
    </row>
    <row r="586">
      <c r="A586" s="23"/>
      <c r="B586" s="43"/>
      <c r="C586" s="43"/>
    </row>
    <row r="587">
      <c r="A587" s="23"/>
      <c r="B587" s="43"/>
      <c r="C587" s="43"/>
    </row>
    <row r="588">
      <c r="A588" s="23"/>
      <c r="B588" s="43"/>
      <c r="C588" s="43"/>
    </row>
    <row r="589">
      <c r="A589" s="23"/>
      <c r="B589" s="43"/>
      <c r="C589" s="43"/>
    </row>
    <row r="590">
      <c r="A590" s="23"/>
      <c r="B590" s="43"/>
      <c r="C590" s="43"/>
    </row>
    <row r="591">
      <c r="A591" s="23"/>
      <c r="B591" s="43"/>
      <c r="C591" s="43"/>
    </row>
    <row r="592">
      <c r="A592" s="23"/>
      <c r="B592" s="43"/>
      <c r="C592" s="43"/>
    </row>
    <row r="593">
      <c r="A593" s="23"/>
      <c r="B593" s="43"/>
      <c r="C593" s="43"/>
    </row>
    <row r="594">
      <c r="A594" s="23"/>
      <c r="B594" s="43"/>
      <c r="C594" s="43"/>
    </row>
    <row r="595">
      <c r="A595" s="23"/>
      <c r="B595" s="43"/>
      <c r="C595" s="43"/>
    </row>
    <row r="596">
      <c r="A596" s="23"/>
      <c r="B596" s="43"/>
      <c r="C596" s="43"/>
    </row>
    <row r="597">
      <c r="A597" s="23"/>
      <c r="B597" s="43"/>
      <c r="C597" s="43"/>
    </row>
    <row r="598">
      <c r="A598" s="23"/>
      <c r="B598" s="43"/>
      <c r="C598" s="43"/>
    </row>
    <row r="599">
      <c r="A599" s="23"/>
      <c r="B599" s="43"/>
      <c r="C599" s="43"/>
    </row>
    <row r="600">
      <c r="A600" s="23"/>
      <c r="B600" s="43"/>
      <c r="C600" s="43"/>
    </row>
    <row r="601">
      <c r="A601" s="23"/>
      <c r="B601" s="43"/>
      <c r="C601" s="43"/>
    </row>
    <row r="602">
      <c r="A602" s="23"/>
      <c r="B602" s="43"/>
      <c r="C602" s="43"/>
    </row>
    <row r="603">
      <c r="A603" s="23"/>
      <c r="B603" s="43"/>
      <c r="C603" s="43"/>
    </row>
    <row r="604">
      <c r="A604" s="23"/>
      <c r="B604" s="43"/>
      <c r="C604" s="43"/>
    </row>
    <row r="605">
      <c r="A605" s="23"/>
      <c r="B605" s="43"/>
      <c r="C605" s="43"/>
    </row>
    <row r="606">
      <c r="A606" s="23"/>
      <c r="B606" s="43"/>
      <c r="C606" s="43"/>
    </row>
    <row r="607">
      <c r="A607" s="23"/>
      <c r="B607" s="43"/>
      <c r="C607" s="43"/>
    </row>
    <row r="608">
      <c r="A608" s="23"/>
      <c r="B608" s="43"/>
      <c r="C608" s="43"/>
    </row>
    <row r="609">
      <c r="A609" s="23"/>
      <c r="B609" s="43"/>
      <c r="C609" s="43"/>
    </row>
    <row r="610">
      <c r="A610" s="23"/>
      <c r="B610" s="43"/>
      <c r="C610" s="43"/>
    </row>
    <row r="611">
      <c r="A611" s="23"/>
      <c r="B611" s="43"/>
      <c r="C611" s="43"/>
    </row>
    <row r="612">
      <c r="A612" s="23"/>
      <c r="B612" s="43"/>
      <c r="C612" s="43"/>
    </row>
    <row r="613">
      <c r="A613" s="23"/>
      <c r="B613" s="43"/>
      <c r="C613" s="43"/>
    </row>
    <row r="614">
      <c r="A614" s="23"/>
      <c r="B614" s="43"/>
      <c r="C614" s="43"/>
    </row>
    <row r="615">
      <c r="A615" s="23"/>
      <c r="B615" s="43"/>
      <c r="C615" s="43"/>
    </row>
    <row r="616">
      <c r="A616" s="23"/>
      <c r="B616" s="43"/>
      <c r="C616" s="43"/>
    </row>
    <row r="617">
      <c r="A617" s="23"/>
      <c r="B617" s="43"/>
      <c r="C617" s="43"/>
    </row>
    <row r="618">
      <c r="A618" s="23"/>
      <c r="B618" s="43"/>
      <c r="C618" s="43"/>
    </row>
    <row r="619">
      <c r="A619" s="23"/>
      <c r="B619" s="43"/>
      <c r="C619" s="43"/>
    </row>
    <row r="620">
      <c r="A620" s="23"/>
      <c r="B620" s="43"/>
      <c r="C620" s="43"/>
    </row>
    <row r="621">
      <c r="A621" s="23"/>
      <c r="B621" s="43"/>
      <c r="C621" s="43"/>
    </row>
    <row r="622">
      <c r="A622" s="23"/>
      <c r="B622" s="43"/>
      <c r="C622" s="43"/>
    </row>
    <row r="623">
      <c r="A623" s="23"/>
      <c r="B623" s="43"/>
      <c r="C623" s="43"/>
    </row>
    <row r="624">
      <c r="A624" s="23"/>
      <c r="B624" s="43"/>
      <c r="C624" s="43"/>
    </row>
    <row r="625">
      <c r="A625" s="23"/>
      <c r="B625" s="43"/>
      <c r="C625" s="43"/>
    </row>
    <row r="626">
      <c r="A626" s="23"/>
      <c r="B626" s="43"/>
      <c r="C626" s="43"/>
    </row>
    <row r="627">
      <c r="A627" s="23"/>
      <c r="B627" s="43"/>
      <c r="C627" s="43"/>
    </row>
    <row r="628">
      <c r="A628" s="23"/>
      <c r="B628" s="43"/>
      <c r="C628" s="43"/>
    </row>
    <row r="629">
      <c r="A629" s="23"/>
      <c r="B629" s="43"/>
      <c r="C629" s="43"/>
    </row>
    <row r="630">
      <c r="A630" s="23"/>
      <c r="B630" s="43"/>
      <c r="C630" s="43"/>
    </row>
    <row r="631">
      <c r="A631" s="23"/>
      <c r="B631" s="43"/>
      <c r="C631" s="43"/>
    </row>
    <row r="632">
      <c r="A632" s="23"/>
      <c r="B632" s="43"/>
      <c r="C632" s="43"/>
    </row>
    <row r="633">
      <c r="A633" s="23"/>
      <c r="B633" s="43"/>
      <c r="C633" s="43"/>
    </row>
    <row r="634">
      <c r="A634" s="23"/>
      <c r="B634" s="43"/>
      <c r="C634" s="43"/>
    </row>
    <row r="635">
      <c r="A635" s="23"/>
      <c r="B635" s="43"/>
      <c r="C635" s="43"/>
    </row>
    <row r="636">
      <c r="A636" s="23"/>
      <c r="B636" s="43"/>
      <c r="C636" s="43"/>
    </row>
    <row r="637">
      <c r="A637" s="23"/>
      <c r="B637" s="43"/>
      <c r="C637" s="43"/>
    </row>
    <row r="638">
      <c r="A638" s="23"/>
      <c r="B638" s="43"/>
      <c r="C638" s="43"/>
    </row>
    <row r="639">
      <c r="A639" s="23"/>
      <c r="B639" s="43"/>
      <c r="C639" s="43"/>
    </row>
    <row r="640">
      <c r="A640" s="23"/>
      <c r="B640" s="43"/>
      <c r="C640" s="43"/>
    </row>
    <row r="641">
      <c r="A641" s="23"/>
      <c r="B641" s="43"/>
      <c r="C641" s="43"/>
    </row>
    <row r="642">
      <c r="A642" s="23"/>
      <c r="B642" s="43"/>
      <c r="C642" s="43"/>
    </row>
    <row r="643">
      <c r="A643" s="23"/>
      <c r="B643" s="43"/>
      <c r="C643" s="43"/>
    </row>
    <row r="644">
      <c r="A644" s="23"/>
      <c r="B644" s="43"/>
      <c r="C644" s="43"/>
    </row>
    <row r="645">
      <c r="A645" s="23"/>
      <c r="B645" s="43"/>
      <c r="C645" s="43"/>
    </row>
    <row r="646">
      <c r="A646" s="23"/>
      <c r="B646" s="43"/>
      <c r="C646" s="43"/>
    </row>
    <row r="647">
      <c r="A647" s="23"/>
      <c r="B647" s="43"/>
      <c r="C647" s="43"/>
    </row>
    <row r="648">
      <c r="A648" s="23"/>
      <c r="B648" s="43"/>
      <c r="C648" s="43"/>
    </row>
    <row r="649">
      <c r="A649" s="23"/>
      <c r="B649" s="43"/>
      <c r="C649" s="43"/>
    </row>
    <row r="650">
      <c r="A650" s="23"/>
      <c r="B650" s="43"/>
      <c r="C650" s="43"/>
    </row>
    <row r="651">
      <c r="A651" s="23"/>
      <c r="B651" s="43"/>
      <c r="C651" s="43"/>
    </row>
    <row r="652">
      <c r="A652" s="23"/>
      <c r="B652" s="43"/>
      <c r="C652" s="43"/>
    </row>
    <row r="653">
      <c r="A653" s="23"/>
      <c r="B653" s="43"/>
      <c r="C653" s="43"/>
    </row>
    <row r="654">
      <c r="A654" s="23"/>
      <c r="B654" s="43"/>
      <c r="C654" s="43"/>
    </row>
    <row r="655">
      <c r="A655" s="23"/>
      <c r="B655" s="43"/>
      <c r="C655" s="43"/>
    </row>
    <row r="656">
      <c r="A656" s="23"/>
      <c r="B656" s="43"/>
      <c r="C656" s="43"/>
    </row>
    <row r="657">
      <c r="A657" s="23"/>
      <c r="B657" s="43"/>
      <c r="C657" s="43"/>
    </row>
    <row r="658">
      <c r="A658" s="23"/>
      <c r="B658" s="43"/>
      <c r="C658" s="43"/>
    </row>
    <row r="659">
      <c r="A659" s="23"/>
      <c r="B659" s="43"/>
      <c r="C659" s="43"/>
    </row>
    <row r="660">
      <c r="A660" s="23"/>
      <c r="B660" s="43"/>
      <c r="C660" s="43"/>
    </row>
    <row r="661">
      <c r="A661" s="23"/>
      <c r="B661" s="43"/>
      <c r="C661" s="43"/>
    </row>
    <row r="662">
      <c r="A662" s="23"/>
      <c r="B662" s="43"/>
      <c r="C662" s="43"/>
    </row>
    <row r="663">
      <c r="A663" s="23"/>
      <c r="B663" s="43"/>
      <c r="C663" s="43"/>
    </row>
    <row r="664">
      <c r="A664" s="23"/>
      <c r="B664" s="43"/>
      <c r="C664" s="43"/>
    </row>
    <row r="665">
      <c r="A665" s="23"/>
      <c r="B665" s="43"/>
      <c r="C665" s="43"/>
    </row>
    <row r="666">
      <c r="A666" s="23"/>
      <c r="B666" s="43"/>
      <c r="C666" s="43"/>
    </row>
    <row r="667">
      <c r="A667" s="23"/>
      <c r="B667" s="43"/>
      <c r="C667" s="43"/>
    </row>
    <row r="668">
      <c r="A668" s="23"/>
      <c r="B668" s="43"/>
      <c r="C668" s="43"/>
    </row>
    <row r="669">
      <c r="A669" s="23"/>
      <c r="B669" s="43"/>
      <c r="C669" s="43"/>
    </row>
    <row r="670">
      <c r="A670" s="23"/>
      <c r="B670" s="43"/>
      <c r="C670" s="43"/>
    </row>
    <row r="671">
      <c r="A671" s="23"/>
      <c r="B671" s="43"/>
      <c r="C671" s="43"/>
    </row>
    <row r="672">
      <c r="A672" s="23"/>
      <c r="B672" s="43"/>
      <c r="C672" s="43"/>
    </row>
    <row r="673">
      <c r="A673" s="23"/>
      <c r="B673" s="43"/>
      <c r="C673" s="43"/>
    </row>
    <row r="674">
      <c r="A674" s="23"/>
      <c r="B674" s="43"/>
      <c r="C674" s="43"/>
    </row>
    <row r="675">
      <c r="A675" s="23"/>
      <c r="B675" s="43"/>
      <c r="C675" s="43"/>
    </row>
    <row r="676">
      <c r="A676" s="23"/>
      <c r="B676" s="43"/>
      <c r="C676" s="43"/>
    </row>
    <row r="677">
      <c r="A677" s="23"/>
      <c r="B677" s="43"/>
      <c r="C677" s="43"/>
    </row>
    <row r="678">
      <c r="A678" s="23"/>
      <c r="B678" s="43"/>
      <c r="C678" s="43"/>
    </row>
    <row r="679">
      <c r="A679" s="23"/>
      <c r="B679" s="43"/>
      <c r="C679" s="43"/>
    </row>
    <row r="680">
      <c r="A680" s="23"/>
      <c r="B680" s="43"/>
      <c r="C680" s="43"/>
    </row>
    <row r="681">
      <c r="A681" s="23"/>
      <c r="B681" s="43"/>
      <c r="C681" s="43"/>
    </row>
    <row r="682">
      <c r="A682" s="23"/>
      <c r="B682" s="43"/>
      <c r="C682" s="43"/>
    </row>
    <row r="683">
      <c r="A683" s="23"/>
      <c r="B683" s="43"/>
      <c r="C683" s="43"/>
    </row>
    <row r="684">
      <c r="A684" s="23"/>
      <c r="B684" s="43"/>
      <c r="C684" s="43"/>
    </row>
    <row r="685">
      <c r="A685" s="23"/>
      <c r="B685" s="43"/>
      <c r="C685" s="43"/>
    </row>
    <row r="686">
      <c r="A686" s="23"/>
      <c r="B686" s="43"/>
      <c r="C686" s="43"/>
    </row>
    <row r="687">
      <c r="A687" s="23"/>
      <c r="B687" s="43"/>
      <c r="C687" s="43"/>
    </row>
    <row r="688">
      <c r="A688" s="23"/>
      <c r="B688" s="43"/>
      <c r="C688" s="43"/>
    </row>
    <row r="689">
      <c r="A689" s="23"/>
      <c r="B689" s="43"/>
      <c r="C689" s="43"/>
    </row>
    <row r="690">
      <c r="A690" s="23"/>
      <c r="B690" s="43"/>
      <c r="C690" s="43"/>
    </row>
    <row r="691">
      <c r="A691" s="23"/>
      <c r="B691" s="43"/>
      <c r="C691" s="43"/>
    </row>
    <row r="692">
      <c r="A692" s="23"/>
      <c r="B692" s="43"/>
      <c r="C692" s="43"/>
    </row>
    <row r="693">
      <c r="A693" s="23"/>
      <c r="B693" s="43"/>
      <c r="C693" s="43"/>
    </row>
    <row r="694">
      <c r="A694" s="23"/>
      <c r="B694" s="43"/>
      <c r="C694" s="43"/>
    </row>
    <row r="695">
      <c r="A695" s="23"/>
      <c r="B695" s="43"/>
      <c r="C695" s="43"/>
    </row>
    <row r="696">
      <c r="A696" s="23"/>
      <c r="B696" s="43"/>
      <c r="C696" s="43"/>
    </row>
    <row r="697">
      <c r="A697" s="23"/>
      <c r="B697" s="43"/>
      <c r="C697" s="43"/>
    </row>
    <row r="698">
      <c r="A698" s="23"/>
      <c r="B698" s="43"/>
      <c r="C698" s="43"/>
    </row>
    <row r="699">
      <c r="A699" s="23"/>
      <c r="B699" s="43"/>
      <c r="C699" s="43"/>
    </row>
    <row r="700">
      <c r="A700" s="23"/>
      <c r="B700" s="43"/>
      <c r="C700" s="43"/>
    </row>
    <row r="701">
      <c r="A701" s="23"/>
      <c r="B701" s="43"/>
      <c r="C701" s="43"/>
    </row>
    <row r="702">
      <c r="A702" s="23"/>
      <c r="B702" s="43"/>
      <c r="C702" s="43"/>
    </row>
    <row r="703">
      <c r="A703" s="23"/>
      <c r="B703" s="43"/>
      <c r="C703" s="43"/>
    </row>
    <row r="704">
      <c r="A704" s="23"/>
      <c r="B704" s="43"/>
      <c r="C704" s="43"/>
    </row>
    <row r="705">
      <c r="A705" s="23"/>
      <c r="B705" s="43"/>
      <c r="C705" s="43"/>
    </row>
    <row r="706">
      <c r="A706" s="23"/>
      <c r="B706" s="43"/>
      <c r="C706" s="43"/>
    </row>
    <row r="707">
      <c r="A707" s="23"/>
      <c r="B707" s="43"/>
      <c r="C707" s="43"/>
    </row>
    <row r="708">
      <c r="A708" s="23"/>
      <c r="B708" s="43"/>
      <c r="C708" s="43"/>
    </row>
    <row r="709">
      <c r="A709" s="23"/>
      <c r="B709" s="43"/>
      <c r="C709" s="43"/>
    </row>
    <row r="710">
      <c r="A710" s="23"/>
      <c r="B710" s="43"/>
      <c r="C710" s="43"/>
    </row>
    <row r="711">
      <c r="A711" s="23"/>
      <c r="B711" s="43"/>
      <c r="C711" s="43"/>
    </row>
    <row r="712">
      <c r="A712" s="23"/>
      <c r="B712" s="43"/>
      <c r="C712" s="43"/>
    </row>
    <row r="713">
      <c r="A713" s="23"/>
      <c r="B713" s="43"/>
      <c r="C713" s="43"/>
    </row>
    <row r="714">
      <c r="A714" s="23"/>
      <c r="B714" s="43"/>
      <c r="C714" s="43"/>
    </row>
    <row r="715">
      <c r="A715" s="23"/>
      <c r="B715" s="43"/>
      <c r="C715" s="43"/>
    </row>
    <row r="716">
      <c r="A716" s="23"/>
      <c r="B716" s="43"/>
      <c r="C716" s="43"/>
    </row>
    <row r="717">
      <c r="A717" s="23"/>
      <c r="B717" s="43"/>
      <c r="C717" s="43"/>
    </row>
    <row r="718">
      <c r="A718" s="23"/>
      <c r="B718" s="43"/>
      <c r="C718" s="43"/>
    </row>
    <row r="719">
      <c r="A719" s="23"/>
      <c r="B719" s="43"/>
      <c r="C719" s="43"/>
    </row>
    <row r="720">
      <c r="A720" s="23"/>
      <c r="B720" s="43"/>
      <c r="C720" s="43"/>
    </row>
    <row r="721">
      <c r="A721" s="23"/>
      <c r="B721" s="43"/>
      <c r="C721" s="43"/>
    </row>
    <row r="722">
      <c r="A722" s="23"/>
      <c r="B722" s="43"/>
      <c r="C722" s="43"/>
    </row>
    <row r="723">
      <c r="A723" s="23"/>
      <c r="B723" s="43"/>
      <c r="C723" s="43"/>
    </row>
    <row r="724">
      <c r="A724" s="23"/>
      <c r="B724" s="43"/>
      <c r="C724" s="43"/>
    </row>
    <row r="725">
      <c r="A725" s="23"/>
      <c r="B725" s="43"/>
      <c r="C725" s="43"/>
    </row>
    <row r="726">
      <c r="A726" s="23"/>
      <c r="B726" s="43"/>
      <c r="C726" s="43"/>
    </row>
    <row r="727">
      <c r="A727" s="23"/>
      <c r="B727" s="43"/>
      <c r="C727" s="43"/>
    </row>
    <row r="728">
      <c r="A728" s="23"/>
      <c r="B728" s="43"/>
      <c r="C728" s="43"/>
    </row>
    <row r="729">
      <c r="A729" s="23"/>
      <c r="B729" s="43"/>
      <c r="C729" s="43"/>
    </row>
    <row r="730">
      <c r="A730" s="23"/>
      <c r="B730" s="43"/>
      <c r="C730" s="43"/>
    </row>
    <row r="731">
      <c r="A731" s="23"/>
      <c r="B731" s="43"/>
      <c r="C731" s="43"/>
    </row>
    <row r="732">
      <c r="A732" s="23"/>
      <c r="B732" s="43"/>
      <c r="C732" s="43"/>
    </row>
    <row r="733">
      <c r="A733" s="23"/>
      <c r="B733" s="43"/>
      <c r="C733" s="43"/>
    </row>
    <row r="734">
      <c r="A734" s="23"/>
      <c r="B734" s="43"/>
      <c r="C734" s="43"/>
    </row>
    <row r="735">
      <c r="A735" s="23"/>
      <c r="B735" s="43"/>
      <c r="C735" s="43"/>
    </row>
    <row r="736">
      <c r="A736" s="23"/>
      <c r="B736" s="43"/>
      <c r="C736" s="43"/>
    </row>
    <row r="737">
      <c r="A737" s="23"/>
      <c r="B737" s="43"/>
      <c r="C737" s="43"/>
    </row>
    <row r="738">
      <c r="A738" s="23"/>
      <c r="B738" s="43"/>
      <c r="C738" s="43"/>
    </row>
    <row r="739">
      <c r="A739" s="23"/>
      <c r="B739" s="43"/>
      <c r="C739" s="43"/>
    </row>
    <row r="740">
      <c r="A740" s="23"/>
      <c r="B740" s="43"/>
      <c r="C740" s="43"/>
    </row>
    <row r="741">
      <c r="A741" s="23"/>
      <c r="B741" s="43"/>
      <c r="C741" s="43"/>
    </row>
    <row r="742">
      <c r="A742" s="23"/>
      <c r="B742" s="43"/>
      <c r="C742" s="43"/>
    </row>
    <row r="743">
      <c r="A743" s="23"/>
      <c r="B743" s="43"/>
      <c r="C743" s="43"/>
    </row>
    <row r="744">
      <c r="A744" s="23"/>
      <c r="B744" s="43"/>
      <c r="C744" s="43"/>
    </row>
    <row r="745">
      <c r="A745" s="23"/>
      <c r="B745" s="43"/>
      <c r="C745" s="43"/>
    </row>
    <row r="746">
      <c r="A746" s="23"/>
      <c r="B746" s="43"/>
      <c r="C746" s="43"/>
    </row>
    <row r="747">
      <c r="A747" s="23"/>
      <c r="B747" s="43"/>
      <c r="C747" s="43"/>
    </row>
    <row r="748">
      <c r="A748" s="23"/>
      <c r="B748" s="43"/>
      <c r="C748" s="43"/>
    </row>
    <row r="749">
      <c r="A749" s="23"/>
      <c r="B749" s="43"/>
      <c r="C749" s="43"/>
    </row>
    <row r="750">
      <c r="A750" s="23"/>
      <c r="B750" s="43"/>
      <c r="C750" s="43"/>
    </row>
    <row r="751">
      <c r="A751" s="23"/>
      <c r="B751" s="43"/>
      <c r="C751" s="43"/>
    </row>
    <row r="752">
      <c r="A752" s="23"/>
      <c r="B752" s="43"/>
      <c r="C752" s="43"/>
    </row>
    <row r="753">
      <c r="A753" s="23"/>
      <c r="B753" s="43"/>
      <c r="C753" s="43"/>
    </row>
    <row r="754">
      <c r="A754" s="23"/>
      <c r="B754" s="43"/>
      <c r="C754" s="43"/>
    </row>
    <row r="755">
      <c r="A755" s="23"/>
      <c r="B755" s="43"/>
      <c r="C755" s="43"/>
    </row>
    <row r="756">
      <c r="A756" s="23"/>
      <c r="B756" s="43"/>
      <c r="C756" s="43"/>
    </row>
    <row r="757">
      <c r="A757" s="23"/>
      <c r="B757" s="43"/>
      <c r="C757" s="43"/>
    </row>
    <row r="758">
      <c r="A758" s="23"/>
      <c r="B758" s="43"/>
      <c r="C758" s="43"/>
    </row>
    <row r="759">
      <c r="A759" s="23"/>
      <c r="B759" s="43"/>
      <c r="C759" s="43"/>
    </row>
    <row r="760">
      <c r="A760" s="23"/>
      <c r="B760" s="43"/>
      <c r="C760" s="43"/>
    </row>
    <row r="761">
      <c r="A761" s="23"/>
      <c r="B761" s="43"/>
      <c r="C761" s="43"/>
    </row>
    <row r="762">
      <c r="A762" s="23"/>
      <c r="B762" s="43"/>
      <c r="C762" s="43"/>
    </row>
    <row r="763">
      <c r="A763" s="23"/>
      <c r="B763" s="43"/>
      <c r="C763" s="43"/>
    </row>
    <row r="764">
      <c r="A764" s="23"/>
      <c r="B764" s="43"/>
      <c r="C764" s="43"/>
    </row>
    <row r="765">
      <c r="A765" s="23"/>
      <c r="B765" s="43"/>
      <c r="C765" s="43"/>
    </row>
    <row r="766">
      <c r="A766" s="23"/>
      <c r="B766" s="43"/>
      <c r="C766" s="43"/>
    </row>
    <row r="767">
      <c r="A767" s="23"/>
      <c r="B767" s="43"/>
      <c r="C767" s="43"/>
    </row>
    <row r="768">
      <c r="A768" s="23"/>
      <c r="B768" s="43"/>
      <c r="C768" s="43"/>
    </row>
    <row r="769">
      <c r="A769" s="23"/>
      <c r="B769" s="43"/>
      <c r="C769" s="43"/>
    </row>
    <row r="770">
      <c r="A770" s="23"/>
      <c r="B770" s="43"/>
      <c r="C770" s="43"/>
    </row>
    <row r="771">
      <c r="A771" s="23"/>
      <c r="B771" s="43"/>
      <c r="C771" s="43"/>
    </row>
    <row r="772">
      <c r="A772" s="23"/>
      <c r="B772" s="43"/>
      <c r="C772" s="43"/>
    </row>
    <row r="773">
      <c r="A773" s="23"/>
      <c r="B773" s="43"/>
      <c r="C773" s="43"/>
    </row>
    <row r="774">
      <c r="A774" s="23"/>
      <c r="B774" s="43"/>
      <c r="C774" s="43"/>
    </row>
    <row r="775">
      <c r="A775" s="23"/>
      <c r="B775" s="43"/>
      <c r="C775" s="43"/>
    </row>
    <row r="776">
      <c r="A776" s="23"/>
      <c r="B776" s="43"/>
      <c r="C776" s="43"/>
    </row>
    <row r="777">
      <c r="A777" s="23"/>
      <c r="B777" s="43"/>
      <c r="C777" s="43"/>
    </row>
    <row r="778">
      <c r="A778" s="23"/>
      <c r="B778" s="43"/>
      <c r="C778" s="43"/>
    </row>
    <row r="779">
      <c r="A779" s="23"/>
      <c r="B779" s="43"/>
      <c r="C779" s="43"/>
    </row>
    <row r="780">
      <c r="A780" s="23"/>
      <c r="B780" s="43"/>
      <c r="C780" s="43"/>
    </row>
    <row r="781">
      <c r="A781" s="23"/>
      <c r="B781" s="43"/>
      <c r="C781" s="43"/>
    </row>
    <row r="782">
      <c r="A782" s="23"/>
      <c r="B782" s="43"/>
      <c r="C782" s="43"/>
    </row>
    <row r="783">
      <c r="A783" s="23"/>
      <c r="B783" s="43"/>
      <c r="C783" s="43"/>
    </row>
    <row r="784">
      <c r="A784" s="23"/>
      <c r="B784" s="43"/>
      <c r="C784" s="43"/>
    </row>
    <row r="785">
      <c r="A785" s="23"/>
      <c r="B785" s="43"/>
      <c r="C785" s="43"/>
    </row>
    <row r="786">
      <c r="A786" s="23"/>
      <c r="B786" s="43"/>
      <c r="C786" s="43"/>
    </row>
    <row r="787">
      <c r="A787" s="23"/>
      <c r="B787" s="43"/>
      <c r="C787" s="43"/>
    </row>
    <row r="788">
      <c r="A788" s="23"/>
      <c r="B788" s="43"/>
      <c r="C788" s="43"/>
    </row>
    <row r="789">
      <c r="A789" s="23"/>
      <c r="B789" s="43"/>
      <c r="C789" s="43"/>
    </row>
    <row r="790">
      <c r="A790" s="23"/>
      <c r="B790" s="43"/>
      <c r="C790" s="43"/>
    </row>
    <row r="791">
      <c r="A791" s="23"/>
      <c r="B791" s="43"/>
      <c r="C791" s="43"/>
    </row>
    <row r="792">
      <c r="A792" s="23"/>
      <c r="B792" s="43"/>
      <c r="C792" s="43"/>
    </row>
    <row r="793">
      <c r="A793" s="23"/>
      <c r="B793" s="43"/>
      <c r="C793" s="43"/>
    </row>
    <row r="794">
      <c r="A794" s="23"/>
      <c r="B794" s="43"/>
      <c r="C794" s="43"/>
    </row>
    <row r="795">
      <c r="A795" s="23"/>
      <c r="B795" s="43"/>
      <c r="C795" s="43"/>
    </row>
    <row r="796">
      <c r="A796" s="23"/>
      <c r="B796" s="43"/>
      <c r="C796" s="43"/>
    </row>
    <row r="797">
      <c r="A797" s="23"/>
      <c r="B797" s="43"/>
      <c r="C797" s="43"/>
    </row>
    <row r="798">
      <c r="A798" s="23"/>
      <c r="B798" s="43"/>
      <c r="C798" s="43"/>
    </row>
    <row r="799">
      <c r="A799" s="23"/>
      <c r="B799" s="43"/>
      <c r="C799" s="43"/>
    </row>
    <row r="800">
      <c r="A800" s="23"/>
      <c r="B800" s="43"/>
      <c r="C800" s="43"/>
    </row>
    <row r="801">
      <c r="A801" s="23"/>
      <c r="B801" s="43"/>
      <c r="C801" s="43"/>
    </row>
    <row r="802">
      <c r="A802" s="23"/>
      <c r="B802" s="43"/>
      <c r="C802" s="43"/>
    </row>
    <row r="803">
      <c r="A803" s="23"/>
      <c r="B803" s="43"/>
      <c r="C803" s="43"/>
    </row>
    <row r="804">
      <c r="A804" s="23"/>
      <c r="B804" s="43"/>
      <c r="C804" s="43"/>
    </row>
    <row r="805">
      <c r="A805" s="23"/>
      <c r="B805" s="43"/>
      <c r="C805" s="43"/>
    </row>
    <row r="806">
      <c r="A806" s="23"/>
      <c r="B806" s="43"/>
      <c r="C806" s="43"/>
    </row>
    <row r="807">
      <c r="A807" s="23"/>
      <c r="B807" s="43"/>
      <c r="C807" s="43"/>
    </row>
    <row r="808">
      <c r="A808" s="23"/>
      <c r="B808" s="43"/>
      <c r="C808" s="43"/>
    </row>
    <row r="809">
      <c r="A809" s="23"/>
      <c r="B809" s="43"/>
      <c r="C809" s="43"/>
    </row>
    <row r="810">
      <c r="A810" s="23"/>
      <c r="B810" s="43"/>
      <c r="C810" s="43"/>
    </row>
    <row r="811">
      <c r="A811" s="23"/>
      <c r="B811" s="43"/>
      <c r="C811" s="43"/>
    </row>
    <row r="812">
      <c r="A812" s="23"/>
      <c r="B812" s="43"/>
      <c r="C812" s="43"/>
    </row>
    <row r="813">
      <c r="A813" s="23"/>
      <c r="B813" s="43"/>
      <c r="C813" s="43"/>
    </row>
    <row r="814">
      <c r="A814" s="23"/>
      <c r="B814" s="43"/>
      <c r="C814" s="43"/>
    </row>
    <row r="815">
      <c r="A815" s="23"/>
      <c r="B815" s="43"/>
      <c r="C815" s="43"/>
    </row>
    <row r="816">
      <c r="A816" s="23"/>
      <c r="B816" s="43"/>
      <c r="C816" s="43"/>
    </row>
    <row r="817">
      <c r="A817" s="23"/>
      <c r="B817" s="43"/>
      <c r="C817" s="43"/>
    </row>
    <row r="818">
      <c r="A818" s="23"/>
      <c r="B818" s="43"/>
      <c r="C818" s="43"/>
    </row>
    <row r="819">
      <c r="A819" s="23"/>
      <c r="B819" s="43"/>
      <c r="C819" s="43"/>
    </row>
    <row r="820">
      <c r="A820" s="23"/>
      <c r="B820" s="43"/>
      <c r="C820" s="43"/>
    </row>
    <row r="821">
      <c r="A821" s="23"/>
      <c r="B821" s="43"/>
      <c r="C821" s="43"/>
    </row>
    <row r="822">
      <c r="A822" s="23"/>
      <c r="B822" s="43"/>
      <c r="C822" s="43"/>
    </row>
    <row r="823">
      <c r="A823" s="23"/>
      <c r="B823" s="43"/>
      <c r="C823" s="43"/>
    </row>
    <row r="824">
      <c r="A824" s="23"/>
      <c r="B824" s="43"/>
      <c r="C824" s="43"/>
    </row>
    <row r="825">
      <c r="A825" s="23"/>
      <c r="B825" s="43"/>
      <c r="C825" s="43"/>
    </row>
    <row r="826">
      <c r="A826" s="23"/>
      <c r="B826" s="43"/>
      <c r="C826" s="43"/>
    </row>
    <row r="827">
      <c r="A827" s="23"/>
      <c r="B827" s="43"/>
      <c r="C827" s="43"/>
    </row>
    <row r="828">
      <c r="A828" s="23"/>
      <c r="B828" s="43"/>
      <c r="C828" s="43"/>
    </row>
    <row r="829">
      <c r="A829" s="23"/>
      <c r="B829" s="43"/>
      <c r="C829" s="43"/>
    </row>
    <row r="830">
      <c r="A830" s="23"/>
      <c r="B830" s="43"/>
      <c r="C830" s="43"/>
    </row>
    <row r="831">
      <c r="A831" s="23"/>
      <c r="B831" s="43"/>
      <c r="C831" s="43"/>
    </row>
    <row r="832">
      <c r="A832" s="23"/>
      <c r="B832" s="43"/>
      <c r="C832" s="43"/>
    </row>
    <row r="833">
      <c r="A833" s="23"/>
      <c r="B833" s="43"/>
      <c r="C833" s="43"/>
    </row>
    <row r="834">
      <c r="A834" s="23"/>
      <c r="B834" s="43"/>
      <c r="C834" s="43"/>
    </row>
    <row r="835">
      <c r="A835" s="23"/>
      <c r="B835" s="43"/>
      <c r="C835" s="43"/>
    </row>
    <row r="836">
      <c r="A836" s="23"/>
      <c r="B836" s="43"/>
      <c r="C836" s="43"/>
    </row>
    <row r="837">
      <c r="A837" s="23"/>
      <c r="B837" s="43"/>
      <c r="C837" s="43"/>
    </row>
    <row r="838">
      <c r="A838" s="23"/>
      <c r="B838" s="43"/>
      <c r="C838" s="43"/>
    </row>
    <row r="839">
      <c r="A839" s="23"/>
      <c r="B839" s="43"/>
      <c r="C839" s="43"/>
    </row>
    <row r="840">
      <c r="A840" s="23"/>
      <c r="B840" s="43"/>
      <c r="C840" s="43"/>
    </row>
    <row r="841">
      <c r="A841" s="23"/>
      <c r="B841" s="43"/>
      <c r="C841" s="43"/>
    </row>
    <row r="842">
      <c r="A842" s="23"/>
      <c r="B842" s="43"/>
      <c r="C842" s="43"/>
    </row>
    <row r="843">
      <c r="A843" s="23"/>
      <c r="B843" s="43"/>
      <c r="C843" s="43"/>
    </row>
    <row r="844">
      <c r="A844" s="23"/>
      <c r="B844" s="43"/>
      <c r="C844" s="43"/>
    </row>
    <row r="845">
      <c r="A845" s="23"/>
      <c r="B845" s="43"/>
      <c r="C845" s="43"/>
    </row>
    <row r="846">
      <c r="A846" s="23"/>
      <c r="B846" s="43"/>
      <c r="C846" s="43"/>
    </row>
    <row r="847">
      <c r="A847" s="23"/>
      <c r="B847" s="43"/>
      <c r="C847" s="43"/>
    </row>
    <row r="848">
      <c r="A848" s="23"/>
      <c r="B848" s="43"/>
      <c r="C848" s="43"/>
    </row>
    <row r="849">
      <c r="A849" s="23"/>
      <c r="B849" s="43"/>
      <c r="C849" s="43"/>
    </row>
    <row r="850">
      <c r="A850" s="23"/>
      <c r="B850" s="43"/>
      <c r="C850" s="43"/>
    </row>
    <row r="851">
      <c r="A851" s="23"/>
      <c r="B851" s="43"/>
      <c r="C851" s="43"/>
    </row>
    <row r="852">
      <c r="A852" s="23"/>
      <c r="B852" s="43"/>
      <c r="C852" s="43"/>
    </row>
    <row r="853">
      <c r="A853" s="23"/>
      <c r="B853" s="43"/>
      <c r="C853" s="43"/>
    </row>
    <row r="854">
      <c r="A854" s="23"/>
      <c r="B854" s="43"/>
      <c r="C854" s="43"/>
    </row>
    <row r="855">
      <c r="A855" s="23"/>
      <c r="B855" s="43"/>
      <c r="C855" s="43"/>
    </row>
    <row r="856">
      <c r="A856" s="23"/>
      <c r="B856" s="43"/>
      <c r="C856" s="43"/>
    </row>
    <row r="857">
      <c r="A857" s="23"/>
      <c r="B857" s="43"/>
      <c r="C857" s="43"/>
    </row>
    <row r="858">
      <c r="A858" s="23"/>
      <c r="B858" s="43"/>
      <c r="C858" s="43"/>
    </row>
    <row r="859">
      <c r="A859" s="23"/>
      <c r="B859" s="43"/>
      <c r="C859" s="43"/>
    </row>
    <row r="860">
      <c r="A860" s="23"/>
      <c r="B860" s="43"/>
      <c r="C860" s="43"/>
    </row>
    <row r="861">
      <c r="A861" s="23"/>
      <c r="B861" s="43"/>
      <c r="C861" s="43"/>
    </row>
    <row r="862">
      <c r="A862" s="23"/>
      <c r="B862" s="43"/>
      <c r="C862" s="43"/>
    </row>
    <row r="863">
      <c r="A863" s="23"/>
      <c r="B863" s="43"/>
      <c r="C863" s="43"/>
    </row>
    <row r="864">
      <c r="A864" s="23"/>
      <c r="B864" s="43"/>
      <c r="C864" s="43"/>
    </row>
    <row r="865">
      <c r="A865" s="23"/>
      <c r="B865" s="43"/>
      <c r="C865" s="43"/>
    </row>
    <row r="866">
      <c r="A866" s="23"/>
      <c r="B866" s="43"/>
      <c r="C866" s="43"/>
    </row>
    <row r="867">
      <c r="A867" s="23"/>
      <c r="B867" s="43"/>
      <c r="C867" s="43"/>
    </row>
    <row r="868">
      <c r="A868" s="23"/>
      <c r="B868" s="43"/>
      <c r="C868" s="43"/>
    </row>
    <row r="869">
      <c r="A869" s="23"/>
      <c r="B869" s="43"/>
      <c r="C869" s="43"/>
    </row>
    <row r="870">
      <c r="A870" s="23"/>
      <c r="B870" s="43"/>
      <c r="C870" s="43"/>
    </row>
    <row r="871">
      <c r="A871" s="23"/>
      <c r="B871" s="43"/>
      <c r="C871" s="43"/>
    </row>
    <row r="872">
      <c r="A872" s="23"/>
      <c r="B872" s="43"/>
      <c r="C872" s="43"/>
    </row>
    <row r="873">
      <c r="A873" s="23"/>
      <c r="B873" s="43"/>
      <c r="C873" s="43"/>
    </row>
    <row r="874">
      <c r="A874" s="23"/>
      <c r="B874" s="43"/>
      <c r="C874" s="43"/>
    </row>
    <row r="875">
      <c r="A875" s="23"/>
      <c r="B875" s="43"/>
      <c r="C875" s="43"/>
    </row>
    <row r="876">
      <c r="A876" s="23"/>
      <c r="B876" s="43"/>
      <c r="C876" s="43"/>
    </row>
    <row r="877">
      <c r="A877" s="23"/>
      <c r="B877" s="43"/>
      <c r="C877" s="43"/>
    </row>
    <row r="878">
      <c r="A878" s="23"/>
      <c r="B878" s="43"/>
      <c r="C878" s="43"/>
    </row>
    <row r="879">
      <c r="A879" s="23"/>
      <c r="B879" s="43"/>
      <c r="C879" s="43"/>
    </row>
    <row r="880">
      <c r="A880" s="23"/>
      <c r="B880" s="43"/>
      <c r="C880" s="43"/>
    </row>
    <row r="881">
      <c r="A881" s="23"/>
      <c r="B881" s="43"/>
      <c r="C881" s="43"/>
    </row>
    <row r="882">
      <c r="A882" s="23"/>
      <c r="B882" s="43"/>
      <c r="C882" s="43"/>
    </row>
    <row r="883">
      <c r="A883" s="23"/>
      <c r="B883" s="43"/>
      <c r="C883" s="43"/>
    </row>
    <row r="884">
      <c r="A884" s="23"/>
      <c r="B884" s="43"/>
      <c r="C884" s="43"/>
    </row>
    <row r="885">
      <c r="A885" s="23"/>
      <c r="B885" s="43"/>
      <c r="C885" s="43"/>
    </row>
    <row r="886">
      <c r="A886" s="23"/>
      <c r="B886" s="43"/>
      <c r="C886" s="43"/>
    </row>
    <row r="887">
      <c r="A887" s="23"/>
      <c r="B887" s="43"/>
      <c r="C887" s="43"/>
    </row>
    <row r="888">
      <c r="A888" s="23"/>
      <c r="B888" s="43"/>
      <c r="C888" s="43"/>
    </row>
    <row r="889">
      <c r="A889" s="23"/>
      <c r="B889" s="43"/>
      <c r="C889" s="43"/>
    </row>
    <row r="890">
      <c r="A890" s="23"/>
      <c r="B890" s="43"/>
      <c r="C890" s="43"/>
    </row>
    <row r="891">
      <c r="A891" s="23"/>
      <c r="B891" s="43"/>
      <c r="C891" s="43"/>
    </row>
    <row r="892">
      <c r="A892" s="23"/>
      <c r="B892" s="43"/>
      <c r="C892" s="43"/>
    </row>
    <row r="893">
      <c r="A893" s="23"/>
      <c r="B893" s="43"/>
      <c r="C893" s="43"/>
    </row>
    <row r="894">
      <c r="A894" s="23"/>
      <c r="B894" s="43"/>
      <c r="C894" s="43"/>
    </row>
    <row r="895">
      <c r="A895" s="23"/>
      <c r="B895" s="43"/>
      <c r="C895" s="43"/>
    </row>
    <row r="896">
      <c r="A896" s="23"/>
      <c r="B896" s="43"/>
      <c r="C896" s="43"/>
    </row>
    <row r="897">
      <c r="A897" s="23"/>
      <c r="B897" s="43"/>
      <c r="C897" s="43"/>
    </row>
    <row r="898">
      <c r="A898" s="23"/>
      <c r="B898" s="43"/>
      <c r="C898" s="43"/>
    </row>
    <row r="899">
      <c r="A899" s="23"/>
      <c r="B899" s="43"/>
      <c r="C899" s="43"/>
    </row>
    <row r="900">
      <c r="A900" s="23"/>
      <c r="B900" s="43"/>
      <c r="C900" s="43"/>
    </row>
    <row r="901">
      <c r="A901" s="23"/>
      <c r="B901" s="43"/>
      <c r="C901" s="43"/>
    </row>
    <row r="902">
      <c r="A902" s="23"/>
      <c r="B902" s="43"/>
      <c r="C902" s="43"/>
    </row>
    <row r="903">
      <c r="A903" s="23"/>
      <c r="B903" s="43"/>
      <c r="C903" s="43"/>
    </row>
    <row r="904">
      <c r="A904" s="23"/>
      <c r="B904" s="43"/>
      <c r="C904" s="43"/>
    </row>
    <row r="905">
      <c r="A905" s="23"/>
      <c r="B905" s="43"/>
      <c r="C905" s="43"/>
    </row>
    <row r="906">
      <c r="A906" s="23"/>
      <c r="B906" s="43"/>
      <c r="C906" s="43"/>
    </row>
    <row r="907">
      <c r="A907" s="23"/>
      <c r="B907" s="43"/>
      <c r="C907" s="43"/>
    </row>
    <row r="908">
      <c r="A908" s="23"/>
      <c r="B908" s="43"/>
      <c r="C908" s="43"/>
    </row>
    <row r="909">
      <c r="A909" s="23"/>
      <c r="B909" s="43"/>
      <c r="C909" s="43"/>
    </row>
    <row r="910">
      <c r="A910" s="23"/>
      <c r="B910" s="43"/>
      <c r="C910" s="43"/>
    </row>
    <row r="911">
      <c r="A911" s="23"/>
      <c r="B911" s="43"/>
      <c r="C911" s="43"/>
    </row>
    <row r="912">
      <c r="A912" s="23"/>
      <c r="B912" s="43"/>
      <c r="C912" s="43"/>
    </row>
    <row r="913">
      <c r="A913" s="23"/>
      <c r="B913" s="43"/>
      <c r="C913" s="43"/>
    </row>
    <row r="914">
      <c r="A914" s="23"/>
      <c r="B914" s="43"/>
      <c r="C914" s="43"/>
    </row>
    <row r="915">
      <c r="A915" s="23"/>
      <c r="B915" s="43"/>
      <c r="C915" s="43"/>
    </row>
    <row r="916">
      <c r="A916" s="23"/>
      <c r="B916" s="43"/>
      <c r="C916" s="43"/>
    </row>
    <row r="917">
      <c r="A917" s="23"/>
      <c r="B917" s="43"/>
      <c r="C917" s="43"/>
    </row>
    <row r="918">
      <c r="A918" s="23"/>
      <c r="B918" s="43"/>
      <c r="C918" s="43"/>
    </row>
    <row r="919">
      <c r="A919" s="23"/>
      <c r="B919" s="43"/>
      <c r="C919" s="43"/>
    </row>
    <row r="920">
      <c r="A920" s="23"/>
      <c r="B920" s="43"/>
      <c r="C920" s="43"/>
    </row>
    <row r="921">
      <c r="A921" s="23"/>
      <c r="B921" s="43"/>
      <c r="C921" s="43"/>
    </row>
    <row r="922">
      <c r="A922" s="23"/>
      <c r="B922" s="43"/>
      <c r="C922" s="43"/>
    </row>
    <row r="923">
      <c r="A923" s="23"/>
      <c r="B923" s="43"/>
      <c r="C923" s="43"/>
    </row>
    <row r="924">
      <c r="A924" s="23"/>
      <c r="B924" s="43"/>
      <c r="C924" s="43"/>
    </row>
    <row r="925">
      <c r="A925" s="23"/>
      <c r="B925" s="43"/>
      <c r="C925" s="43"/>
    </row>
    <row r="926">
      <c r="A926" s="23"/>
      <c r="B926" s="43"/>
      <c r="C926" s="43"/>
    </row>
    <row r="927">
      <c r="A927" s="23"/>
      <c r="B927" s="43"/>
      <c r="C927" s="43"/>
    </row>
    <row r="928">
      <c r="A928" s="23"/>
      <c r="B928" s="43"/>
      <c r="C928" s="43"/>
    </row>
    <row r="929">
      <c r="A929" s="23"/>
      <c r="B929" s="43"/>
      <c r="C929" s="43"/>
    </row>
    <row r="930">
      <c r="A930" s="23"/>
      <c r="B930" s="43"/>
      <c r="C930" s="43"/>
    </row>
    <row r="931">
      <c r="A931" s="23"/>
      <c r="B931" s="43"/>
      <c r="C931" s="43"/>
    </row>
    <row r="932">
      <c r="A932" s="23"/>
      <c r="B932" s="43"/>
      <c r="C932" s="43"/>
    </row>
    <row r="933">
      <c r="A933" s="23"/>
      <c r="B933" s="43"/>
      <c r="C933" s="43"/>
    </row>
    <row r="934">
      <c r="A934" s="23"/>
      <c r="B934" s="43"/>
      <c r="C934" s="43"/>
    </row>
    <row r="935">
      <c r="A935" s="23"/>
      <c r="B935" s="43"/>
      <c r="C935" s="43"/>
    </row>
    <row r="936">
      <c r="A936" s="23"/>
      <c r="B936" s="43"/>
      <c r="C936" s="43"/>
    </row>
    <row r="937">
      <c r="A937" s="23"/>
      <c r="B937" s="43"/>
      <c r="C937" s="43"/>
    </row>
    <row r="938">
      <c r="A938" s="23"/>
      <c r="B938" s="43"/>
      <c r="C938" s="43"/>
    </row>
    <row r="939">
      <c r="A939" s="23"/>
      <c r="B939" s="43"/>
      <c r="C939" s="43"/>
    </row>
    <row r="940">
      <c r="A940" s="23"/>
      <c r="B940" s="43"/>
      <c r="C940" s="43"/>
    </row>
    <row r="941">
      <c r="A941" s="23"/>
      <c r="B941" s="43"/>
      <c r="C941" s="43"/>
    </row>
    <row r="942">
      <c r="A942" s="23"/>
      <c r="B942" s="43"/>
      <c r="C942" s="43"/>
    </row>
    <row r="943">
      <c r="A943" s="23"/>
      <c r="B943" s="43"/>
      <c r="C943" s="43"/>
    </row>
    <row r="944">
      <c r="A944" s="23"/>
      <c r="B944" s="43"/>
      <c r="C944" s="43"/>
    </row>
    <row r="945">
      <c r="A945" s="23"/>
      <c r="B945" s="43"/>
      <c r="C945" s="43"/>
    </row>
    <row r="946">
      <c r="A946" s="23"/>
      <c r="B946" s="43"/>
      <c r="C946" s="43"/>
    </row>
    <row r="947">
      <c r="A947" s="23"/>
      <c r="B947" s="43"/>
      <c r="C947" s="43"/>
    </row>
    <row r="948">
      <c r="A948" s="23"/>
      <c r="B948" s="43"/>
      <c r="C948" s="43"/>
    </row>
    <row r="949">
      <c r="A949" s="23"/>
      <c r="B949" s="43"/>
      <c r="C949" s="43"/>
    </row>
    <row r="950">
      <c r="A950" s="23"/>
      <c r="B950" s="43"/>
      <c r="C950" s="43"/>
    </row>
    <row r="951">
      <c r="A951" s="23"/>
      <c r="B951" s="43"/>
      <c r="C951" s="43"/>
    </row>
    <row r="952">
      <c r="A952" s="23"/>
      <c r="B952" s="43"/>
      <c r="C952" s="43"/>
    </row>
    <row r="953">
      <c r="A953" s="23"/>
      <c r="B953" s="43"/>
      <c r="C953" s="43"/>
    </row>
    <row r="954">
      <c r="A954" s="23"/>
      <c r="B954" s="43"/>
      <c r="C954" s="43"/>
    </row>
    <row r="955">
      <c r="A955" s="23"/>
      <c r="B955" s="43"/>
      <c r="C955" s="43"/>
    </row>
    <row r="956">
      <c r="A956" s="23"/>
      <c r="B956" s="43"/>
      <c r="C956" s="43"/>
    </row>
    <row r="957">
      <c r="A957" s="23"/>
      <c r="B957" s="43"/>
      <c r="C957" s="43"/>
    </row>
    <row r="958">
      <c r="A958" s="23"/>
      <c r="B958" s="43"/>
      <c r="C958" s="43"/>
    </row>
    <row r="959">
      <c r="A959" s="23"/>
      <c r="B959" s="43"/>
      <c r="C959" s="43"/>
    </row>
    <row r="960">
      <c r="A960" s="23"/>
      <c r="B960" s="43"/>
      <c r="C960" s="43"/>
    </row>
    <row r="961">
      <c r="A961" s="23"/>
      <c r="B961" s="43"/>
      <c r="C961" s="43"/>
    </row>
    <row r="962">
      <c r="A962" s="23"/>
      <c r="B962" s="43"/>
      <c r="C962" s="43"/>
    </row>
    <row r="963">
      <c r="A963" s="23"/>
      <c r="B963" s="43"/>
      <c r="C963" s="43"/>
    </row>
    <row r="964">
      <c r="A964" s="23"/>
      <c r="B964" s="43"/>
      <c r="C964" s="43"/>
    </row>
    <row r="965">
      <c r="A965" s="23"/>
      <c r="B965" s="43"/>
      <c r="C965" s="43"/>
    </row>
    <row r="966">
      <c r="A966" s="23"/>
      <c r="B966" s="43"/>
      <c r="C966" s="43"/>
    </row>
    <row r="967">
      <c r="A967" s="23"/>
      <c r="B967" s="43"/>
      <c r="C967" s="43"/>
    </row>
    <row r="968">
      <c r="A968" s="23"/>
      <c r="B968" s="43"/>
      <c r="C968" s="43"/>
    </row>
    <row r="969">
      <c r="A969" s="23"/>
      <c r="B969" s="43"/>
      <c r="C969" s="43"/>
    </row>
    <row r="970">
      <c r="A970" s="23"/>
      <c r="B970" s="43"/>
      <c r="C970" s="43"/>
    </row>
    <row r="971">
      <c r="A971" s="23"/>
      <c r="B971" s="43"/>
      <c r="C971" s="43"/>
    </row>
    <row r="972">
      <c r="A972" s="23"/>
      <c r="B972" s="43"/>
      <c r="C972" s="43"/>
    </row>
    <row r="973">
      <c r="A973" s="23"/>
      <c r="B973" s="43"/>
      <c r="C973" s="43"/>
    </row>
    <row r="974">
      <c r="A974" s="23"/>
      <c r="B974" s="43"/>
      <c r="C974" s="43"/>
    </row>
    <row r="975">
      <c r="A975" s="23"/>
      <c r="B975" s="43"/>
      <c r="C975" s="43"/>
    </row>
    <row r="976">
      <c r="A976" s="23"/>
      <c r="B976" s="43"/>
      <c r="C976" s="43"/>
    </row>
    <row r="977">
      <c r="A977" s="23"/>
      <c r="B977" s="43"/>
      <c r="C977" s="43"/>
    </row>
    <row r="978">
      <c r="A978" s="23"/>
      <c r="B978" s="43"/>
      <c r="C978" s="43"/>
    </row>
    <row r="979">
      <c r="A979" s="23"/>
      <c r="B979" s="43"/>
      <c r="C979" s="43"/>
    </row>
    <row r="980">
      <c r="A980" s="23"/>
      <c r="B980" s="43"/>
      <c r="C980" s="43"/>
    </row>
    <row r="981">
      <c r="A981" s="23"/>
      <c r="B981" s="43"/>
      <c r="C981" s="43"/>
    </row>
    <row r="982">
      <c r="A982" s="23"/>
      <c r="B982" s="43"/>
      <c r="C982" s="43"/>
    </row>
    <row r="983">
      <c r="A983" s="23"/>
      <c r="B983" s="43"/>
      <c r="C983" s="43"/>
    </row>
    <row r="984">
      <c r="A984" s="23"/>
      <c r="B984" s="43"/>
      <c r="C984" s="43"/>
    </row>
    <row r="985">
      <c r="A985" s="23"/>
      <c r="B985" s="43"/>
      <c r="C985" s="43"/>
    </row>
    <row r="986">
      <c r="A986" s="23"/>
      <c r="B986" s="43"/>
      <c r="C986" s="43"/>
    </row>
    <row r="987">
      <c r="A987" s="23"/>
      <c r="B987" s="43"/>
      <c r="C987" s="43"/>
    </row>
    <row r="988">
      <c r="A988" s="23"/>
      <c r="B988" s="43"/>
      <c r="C988" s="43"/>
    </row>
    <row r="989">
      <c r="A989" s="23"/>
      <c r="B989" s="43"/>
      <c r="C989" s="43"/>
    </row>
    <row r="990">
      <c r="A990" s="23"/>
      <c r="B990" s="43"/>
      <c r="C990" s="43"/>
    </row>
    <row r="991">
      <c r="A991" s="23"/>
      <c r="B991" s="43"/>
      <c r="C991" s="43"/>
    </row>
    <row r="992">
      <c r="A992" s="23"/>
      <c r="B992" s="43"/>
      <c r="C992" s="43"/>
    </row>
    <row r="993">
      <c r="A993" s="23"/>
      <c r="B993" s="43"/>
      <c r="C993" s="43"/>
    </row>
    <row r="994">
      <c r="A994" s="23"/>
      <c r="B994" s="43"/>
      <c r="C994" s="43"/>
    </row>
    <row r="995">
      <c r="A995" s="23"/>
      <c r="B995" s="43"/>
      <c r="C995" s="43"/>
    </row>
    <row r="996">
      <c r="A996" s="23"/>
      <c r="B996" s="43"/>
      <c r="C996" s="43"/>
    </row>
    <row r="997">
      <c r="A997" s="23"/>
      <c r="B997" s="43"/>
      <c r="C997" s="43"/>
    </row>
    <row r="998">
      <c r="A998" s="23"/>
      <c r="B998" s="43"/>
      <c r="C998" s="43"/>
    </row>
    <row r="999">
      <c r="A999" s="23"/>
      <c r="B999" s="43"/>
      <c r="C999" s="43"/>
    </row>
    <row r="1000">
      <c r="A1000" s="23"/>
      <c r="B1000" s="43"/>
      <c r="C1000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5" max="5" width="20.38"/>
  </cols>
  <sheetData>
    <row r="1">
      <c r="A1" s="1" t="s">
        <v>0</v>
      </c>
      <c r="B1" s="35" t="s">
        <v>26</v>
      </c>
      <c r="C1" s="36" t="s">
        <v>15</v>
      </c>
      <c r="F1" s="35" t="s">
        <v>26</v>
      </c>
      <c r="G1" s="36" t="s">
        <v>15</v>
      </c>
    </row>
    <row r="2">
      <c r="A2" s="7">
        <v>46091.0</v>
      </c>
      <c r="B2" s="43">
        <f>VLOOKUP(A2,'Return prepared data'!A:L,6,0)</f>
        <v>0.004994173464</v>
      </c>
      <c r="C2" s="43">
        <f>VLOOKUP(A2,'Return prepared data'!A:L,7,0)</f>
        <v>0.006273122085</v>
      </c>
      <c r="E2" s="45" t="s">
        <v>33</v>
      </c>
      <c r="F2" s="43">
        <f t="shared" ref="F2:G2" si="1">AVERAGE(B:B)</f>
        <v>0.00410361447</v>
      </c>
      <c r="G2" s="43">
        <f t="shared" si="1"/>
        <v>0.007985952577</v>
      </c>
    </row>
    <row r="3">
      <c r="A3" s="13">
        <v>46090.0</v>
      </c>
      <c r="B3" s="43">
        <f>VLOOKUP(A3,'Return prepared data'!A:L,6,0)</f>
        <v>-0.005381240169</v>
      </c>
      <c r="C3" s="43">
        <f>VLOOKUP(A3,'Return prepared data'!A:L,7,0)</f>
        <v>0.00436187399</v>
      </c>
      <c r="E3" s="45" t="s">
        <v>34</v>
      </c>
      <c r="F3" s="43">
        <f t="shared" ref="F3:G3" si="2">AVEDEV(B2:B54)*52/51</f>
        <v>0.02751549354</v>
      </c>
      <c r="G3" s="43">
        <f t="shared" si="2"/>
        <v>0.02514968538</v>
      </c>
    </row>
    <row r="4">
      <c r="A4" s="7">
        <v>46083.0</v>
      </c>
      <c r="B4" s="43">
        <f>VLOOKUP(A4,'Return prepared data'!A:L,6,0)</f>
        <v>0.06151682925</v>
      </c>
      <c r="C4" s="43">
        <f>VLOOKUP(A4,'Return prepared data'!A:L,7,0)</f>
        <v>-0.03243454474</v>
      </c>
      <c r="E4" s="45" t="s">
        <v>35</v>
      </c>
      <c r="F4" s="43">
        <f t="shared" ref="F4:G4" si="3">_xlfn.VAR.S(B:B)</f>
        <v>0.00115695903</v>
      </c>
      <c r="G4" s="43">
        <f t="shared" si="3"/>
        <v>0.001165036385</v>
      </c>
    </row>
    <row r="5">
      <c r="A5" s="13">
        <v>46076.0</v>
      </c>
      <c r="B5" s="43">
        <f>VLOOKUP(A5,'Return prepared data'!A:L,6,0)</f>
        <v>-0.02485217242</v>
      </c>
      <c r="C5" s="43">
        <f>VLOOKUP(A5,'Return prepared data'!A:L,7,0)</f>
        <v>0.04032848199</v>
      </c>
      <c r="E5" s="45" t="s">
        <v>36</v>
      </c>
      <c r="F5" s="43">
        <f t="shared" ref="F5:G5" si="4">_xlfn.STDEV.S(B:B)</f>
        <v>0.03401410046</v>
      </c>
      <c r="G5" s="43">
        <f t="shared" si="4"/>
        <v>0.03413262933</v>
      </c>
    </row>
    <row r="6">
      <c r="A6" s="7">
        <v>46069.0</v>
      </c>
      <c r="B6" s="43">
        <f>VLOOKUP(A6,'Return prepared data'!A:L,6,0)</f>
        <v>0.01832620648</v>
      </c>
      <c r="C6" s="43">
        <f>VLOOKUP(A6,'Return prepared data'!A:L,7,0)</f>
        <v>-0.08141011278</v>
      </c>
      <c r="E6" s="3" t="s">
        <v>39</v>
      </c>
      <c r="F6" s="42">
        <f t="shared" ref="F6:G6" si="5">F5/F2</f>
        <v>8.288814827</v>
      </c>
      <c r="G6" s="42">
        <f t="shared" si="5"/>
        <v>4.274083649</v>
      </c>
    </row>
    <row r="7">
      <c r="A7" s="13">
        <v>46062.0</v>
      </c>
      <c r="B7" s="43">
        <f>VLOOKUP(A7,'Return prepared data'!A:L,6,0)</f>
        <v>0.001748404581</v>
      </c>
      <c r="C7" s="43">
        <f>VLOOKUP(A7,'Return prepared data'!A:L,7,0)</f>
        <v>0.02065863699</v>
      </c>
    </row>
    <row r="8">
      <c r="A8" s="7">
        <v>46055.0</v>
      </c>
      <c r="B8" s="43">
        <f>VLOOKUP(A8,'Return prepared data'!A:L,6,0)</f>
        <v>0.09558471411</v>
      </c>
      <c r="C8" s="43">
        <f>VLOOKUP(A8,'Return prepared data'!A:L,7,0)</f>
        <v>0.1010575793</v>
      </c>
      <c r="E8" s="46" t="s">
        <v>40</v>
      </c>
      <c r="F8" s="41">
        <f>3.96/52</f>
        <v>0.07615384615</v>
      </c>
    </row>
    <row r="9">
      <c r="A9" s="13">
        <v>46048.0</v>
      </c>
      <c r="B9" s="43">
        <f>VLOOKUP(A9,'Return prepared data'!A:L,6,0)</f>
        <v>-0.02429679469</v>
      </c>
      <c r="C9" s="43">
        <f>VLOOKUP(A9,'Return prepared data'!A:L,7,0)</f>
        <v>0.01197655653</v>
      </c>
      <c r="E9" s="46" t="s">
        <v>41</v>
      </c>
      <c r="F9" s="42">
        <f t="shared" ref="F9:G9" si="6">(F2-$F$8)/F5</f>
        <v>-2.118245983</v>
      </c>
      <c r="G9" s="42">
        <f t="shared" si="6"/>
        <v>-1.997147449</v>
      </c>
    </row>
    <row r="10">
      <c r="A10" s="7">
        <v>46041.0</v>
      </c>
      <c r="B10" s="43">
        <f>VLOOKUP(A10,'Return prepared data'!A:L,6,0)</f>
        <v>-0.02859477124</v>
      </c>
      <c r="C10" s="43">
        <f>VLOOKUP(A10,'Return prepared data'!A:L,7,0)</f>
        <v>-0.01645781119</v>
      </c>
    </row>
    <row r="11">
      <c r="A11" s="13">
        <v>46034.0</v>
      </c>
      <c r="B11" s="43">
        <f>VLOOKUP(A11,'Return prepared data'!A:L,6,0)</f>
        <v>0.05456634118</v>
      </c>
      <c r="C11" s="43">
        <f>VLOOKUP(A11,'Return prepared data'!A:L,7,0)</f>
        <v>0.04514101109</v>
      </c>
    </row>
    <row r="12">
      <c r="A12" s="7">
        <v>46027.0</v>
      </c>
      <c r="B12" s="43">
        <f>VLOOKUP(A12,'Return prepared data'!A:L,6,0)</f>
        <v>0.04984924623</v>
      </c>
      <c r="C12" s="43">
        <f>VLOOKUP(A12,'Return prepared data'!A:L,7,0)</f>
        <v>0.01569705569</v>
      </c>
    </row>
    <row r="13">
      <c r="A13" s="13">
        <v>46020.0</v>
      </c>
      <c r="B13" s="43">
        <f>VLOOKUP(A13,'Return prepared data'!A:L,6,0)</f>
        <v>0.009639776763</v>
      </c>
      <c r="C13" s="43">
        <f>VLOOKUP(A13,'Return prepared data'!A:L,7,0)</f>
        <v>0.009128333632</v>
      </c>
    </row>
    <row r="14">
      <c r="A14" s="7">
        <v>46013.0</v>
      </c>
      <c r="B14" s="43">
        <f>VLOOKUP(A14,'Return prepared data'!A:L,6,0)</f>
        <v>0.01576994434</v>
      </c>
      <c r="C14" s="43">
        <f>VLOOKUP(A14,'Return prepared data'!A:L,7,0)</f>
        <v>-0.02291010843</v>
      </c>
    </row>
    <row r="15">
      <c r="A15" s="13">
        <v>46006.0</v>
      </c>
      <c r="B15" s="43">
        <f>VLOOKUP(A15,'Return prepared data'!A:L,6,0)</f>
        <v>0.009468317553</v>
      </c>
      <c r="C15" s="43">
        <f>VLOOKUP(A15,'Return prepared data'!A:L,7,0)</f>
        <v>-0.0180319423</v>
      </c>
    </row>
    <row r="16">
      <c r="A16" s="7">
        <v>45999.0</v>
      </c>
      <c r="B16" s="43">
        <f>VLOOKUP(A16,'Return prepared data'!A:L,6,0)</f>
        <v>0.05314486084</v>
      </c>
      <c r="C16" s="43">
        <f>VLOOKUP(A16,'Return prepared data'!A:L,7,0)</f>
        <v>0.01375348189</v>
      </c>
    </row>
    <row r="17">
      <c r="A17" s="13">
        <v>45992.0</v>
      </c>
      <c r="B17" s="43">
        <f>VLOOKUP(A17,'Return prepared data'!A:L,6,0)</f>
        <v>0.01727789544</v>
      </c>
      <c r="C17" s="43">
        <f>VLOOKUP(A17,'Return prepared data'!A:L,7,0)</f>
        <v>0.04161755372</v>
      </c>
    </row>
    <row r="18">
      <c r="A18" s="7">
        <v>45985.0</v>
      </c>
      <c r="B18" s="43">
        <f>VLOOKUP(A18,'Return prepared data'!A:L,6,0)</f>
        <v>0.03424025824</v>
      </c>
      <c r="C18" s="43">
        <f>VLOOKUP(A18,'Return prepared data'!A:L,7,0)</f>
        <v>0.04928170488</v>
      </c>
    </row>
    <row r="19">
      <c r="A19" s="13">
        <v>45978.0</v>
      </c>
      <c r="B19" s="43">
        <f>VLOOKUP(A19,'Return prepared data'!A:L,6,0)</f>
        <v>-0.01308453749</v>
      </c>
      <c r="C19" s="43">
        <f>VLOOKUP(A19,'Return prepared data'!A:L,7,0)</f>
        <v>0.02776962941</v>
      </c>
    </row>
    <row r="20">
      <c r="A20" s="7">
        <v>45971.0</v>
      </c>
      <c r="B20" s="43">
        <f>VLOOKUP(A20,'Return prepared data'!A:L,6,0)</f>
        <v>-0.01468609865</v>
      </c>
      <c r="C20" s="43">
        <f>VLOOKUP(A20,'Return prepared data'!A:L,7,0)</f>
        <v>-0.001074428599</v>
      </c>
    </row>
    <row r="21">
      <c r="A21" s="13">
        <v>45964.0</v>
      </c>
      <c r="B21" s="43">
        <f>VLOOKUP(A21,'Return prepared data'!A:L,6,0)</f>
        <v>-0.0158870256</v>
      </c>
      <c r="C21" s="43">
        <f>VLOOKUP(A21,'Return prepared data'!A:L,7,0)</f>
        <v>0.01396454392</v>
      </c>
    </row>
    <row r="22">
      <c r="A22" s="7">
        <v>45957.0</v>
      </c>
      <c r="B22" s="43">
        <f>VLOOKUP(A22,'Return prepared data'!A:L,6,0)</f>
        <v>-0.01638632664</v>
      </c>
      <c r="C22" s="43">
        <f>VLOOKUP(A22,'Return prepared data'!A:L,7,0)</f>
        <v>-0.04700330345</v>
      </c>
    </row>
    <row r="23">
      <c r="A23" s="13">
        <v>45950.0</v>
      </c>
      <c r="B23" s="43">
        <f>VLOOKUP(A23,'Return prepared data'!A:L,6,0)</f>
        <v>0.03760837743</v>
      </c>
      <c r="C23" s="43">
        <f>VLOOKUP(A23,'Return prepared data'!A:L,7,0)</f>
        <v>-0.01451027811</v>
      </c>
    </row>
    <row r="24">
      <c r="A24" s="7">
        <v>45943.0</v>
      </c>
      <c r="B24" s="43">
        <f>VLOOKUP(A24,'Return prepared data'!A:L,6,0)</f>
        <v>0.06219351752</v>
      </c>
      <c r="C24" s="43">
        <f>VLOOKUP(A24,'Return prepared data'!A:L,7,0)</f>
        <v>0.05785693201</v>
      </c>
    </row>
    <row r="25">
      <c r="A25" s="13">
        <v>45936.0</v>
      </c>
      <c r="B25" s="43">
        <f>VLOOKUP(A25,'Return prepared data'!A:L,6,0)</f>
        <v>-0.03940716912</v>
      </c>
      <c r="C25" s="43">
        <f>VLOOKUP(A25,'Return prepared data'!A:L,7,0)</f>
        <v>-0.002258001178</v>
      </c>
    </row>
    <row r="26">
      <c r="A26" s="7">
        <v>45929.0</v>
      </c>
      <c r="B26" s="43">
        <f>VLOOKUP(A26,'Return prepared data'!A:L,6,0)</f>
        <v>0.01350721938</v>
      </c>
      <c r="C26" s="43">
        <f>VLOOKUP(A26,'Return prepared data'!A:L,7,0)</f>
        <v>-0.01058766391</v>
      </c>
    </row>
    <row r="27">
      <c r="A27" s="13">
        <v>45922.0</v>
      </c>
      <c r="B27" s="43">
        <f>VLOOKUP(A27,'Return prepared data'!A:L,6,0)</f>
        <v>-0.003249767874</v>
      </c>
      <c r="C27" s="43">
        <f>VLOOKUP(A27,'Return prepared data'!A:L,7,0)</f>
        <v>0.00812769291</v>
      </c>
    </row>
    <row r="28">
      <c r="A28" s="7">
        <v>45915.0</v>
      </c>
      <c r="B28" s="43">
        <f>VLOOKUP(A28,'Return prepared data'!A:L,6,0)</f>
        <v>-0.020352473</v>
      </c>
      <c r="C28" s="43">
        <f>VLOOKUP(A28,'Return prepared data'!A:L,7,0)</f>
        <v>-0.01123160341</v>
      </c>
    </row>
    <row r="29">
      <c r="A29" s="13">
        <v>45908.0</v>
      </c>
      <c r="B29" s="43">
        <f>VLOOKUP(A29,'Return prepared data'!A:L,6,0)</f>
        <v>-0.03436539306</v>
      </c>
      <c r="C29" s="43">
        <f>VLOOKUP(A29,'Return prepared data'!A:L,7,0)</f>
        <v>0.02960821453</v>
      </c>
    </row>
    <row r="30">
      <c r="A30" s="7">
        <v>45901.0</v>
      </c>
      <c r="B30" s="43">
        <f>VLOOKUP(A30,'Return prepared data'!A:L,6,0)</f>
        <v>-0.02930832356</v>
      </c>
      <c r="C30" s="43">
        <f>VLOOKUP(A30,'Return prepared data'!A:L,7,0)</f>
        <v>0.0364744782</v>
      </c>
    </row>
    <row r="31">
      <c r="A31" s="13">
        <v>45894.0</v>
      </c>
      <c r="B31" s="43">
        <f>VLOOKUP(A31,'Return prepared data'!A:L,6,0)</f>
        <v>-0.03287981859</v>
      </c>
      <c r="C31" s="43">
        <f>VLOOKUP(A31,'Return prepared data'!A:L,7,0)</f>
        <v>0.001552312946</v>
      </c>
    </row>
    <row r="32">
      <c r="A32" s="7">
        <v>45887.0</v>
      </c>
      <c r="B32" s="43">
        <f>VLOOKUP(A32,'Return prepared data'!A:L,6,0)</f>
        <v>-0.02619692864</v>
      </c>
      <c r="C32" s="43">
        <f>VLOOKUP(A32,'Return prepared data'!A:L,7,0)</f>
        <v>-0.02942948975</v>
      </c>
    </row>
    <row r="33">
      <c r="A33" s="13">
        <v>45880.0</v>
      </c>
      <c r="B33" s="43">
        <f>VLOOKUP(A33,'Return prepared data'!A:L,6,0)</f>
        <v>-0.02256450505</v>
      </c>
      <c r="C33" s="43">
        <f>VLOOKUP(A33,'Return prepared data'!A:L,7,0)</f>
        <v>-0.03601859024</v>
      </c>
    </row>
    <row r="34">
      <c r="A34" s="7">
        <v>45873.0</v>
      </c>
      <c r="B34" s="43">
        <f>VLOOKUP(A34,'Return prepared data'!A:L,6,0)</f>
        <v>0.05637889937</v>
      </c>
      <c r="C34" s="43">
        <f>VLOOKUP(A34,'Return prepared data'!A:L,7,0)</f>
        <v>0.05323271466</v>
      </c>
    </row>
    <row r="35">
      <c r="A35" s="13">
        <v>45866.0</v>
      </c>
      <c r="B35" s="43">
        <f>VLOOKUP(A35,'Return prepared data'!A:L,6,0)</f>
        <v>-0.05918486739</v>
      </c>
      <c r="C35" s="43">
        <f>VLOOKUP(A35,'Return prepared data'!A:L,7,0)</f>
        <v>0.0104070067</v>
      </c>
    </row>
    <row r="36">
      <c r="A36" s="7">
        <v>45859.0</v>
      </c>
      <c r="B36" s="43">
        <f>VLOOKUP(A36,'Return prepared data'!A:L,6,0)</f>
        <v>0.02498500899</v>
      </c>
      <c r="C36" s="43">
        <f>VLOOKUP(A36,'Return prepared data'!A:L,7,0)</f>
        <v>0.0254649197</v>
      </c>
    </row>
    <row r="37">
      <c r="A37" s="13">
        <v>45852.0</v>
      </c>
      <c r="B37" s="43">
        <f>VLOOKUP(A37,'Return prepared data'!A:L,6,0)</f>
        <v>-0.007439738121</v>
      </c>
      <c r="C37" s="43">
        <f>VLOOKUP(A37,'Return prepared data'!A:L,7,0)</f>
        <v>0.006915629322</v>
      </c>
    </row>
    <row r="38">
      <c r="A38" s="7">
        <v>45845.0</v>
      </c>
      <c r="B38" s="43">
        <f>VLOOKUP(A38,'Return prepared data'!A:L,6,0)</f>
        <v>0.001689189189</v>
      </c>
      <c r="C38" s="43">
        <f>VLOOKUP(A38,'Return prepared data'!A:L,7,0)</f>
        <v>-0.04023281936</v>
      </c>
    </row>
    <row r="39">
      <c r="A39" s="13">
        <v>45838.0</v>
      </c>
      <c r="B39" s="43">
        <f>VLOOKUP(A39,'Return prepared data'!A:L,6,0)</f>
        <v>0.04866103991</v>
      </c>
      <c r="C39" s="43">
        <f>VLOOKUP(A39,'Return prepared data'!A:L,7,0)</f>
        <v>0.01115126484</v>
      </c>
    </row>
    <row r="40">
      <c r="A40" s="7">
        <v>45831.0</v>
      </c>
      <c r="B40" s="43">
        <f>VLOOKUP(A40,'Return prepared data'!A:L,6,0)</f>
        <v>0.03863636364</v>
      </c>
      <c r="C40" s="43">
        <f>VLOOKUP(A40,'Return prepared data'!A:L,7,0)</f>
        <v>0.01201671891</v>
      </c>
    </row>
    <row r="41">
      <c r="A41" s="13">
        <v>45824.0</v>
      </c>
      <c r="B41" s="43">
        <f>VLOOKUP(A41,'Return prepared data'!A:L,6,0)</f>
        <v>0.001843218042</v>
      </c>
      <c r="C41" s="43">
        <f>VLOOKUP(A41,'Return prepared data'!A:L,7,0)</f>
        <v>0.01776028927</v>
      </c>
    </row>
    <row r="42">
      <c r="A42" s="7">
        <v>45817.0</v>
      </c>
      <c r="B42" s="43">
        <f>VLOOKUP(A42,'Return prepared data'!A:L,6,0)</f>
        <v>-0.02008074798</v>
      </c>
      <c r="C42" s="43">
        <f>VLOOKUP(A42,'Return prepared data'!A:L,7,0)</f>
        <v>-0.03111798042</v>
      </c>
    </row>
    <row r="43">
      <c r="A43" s="13">
        <v>45810.0</v>
      </c>
      <c r="B43" s="43">
        <f>VLOOKUP(A43,'Return prepared data'!A:L,6,0)</f>
        <v>0.03519577651</v>
      </c>
      <c r="C43" s="43">
        <f>VLOOKUP(A43,'Return prepared data'!A:L,7,0)</f>
        <v>-0.01261572897</v>
      </c>
    </row>
    <row r="44">
      <c r="A44" s="7">
        <v>45803.0</v>
      </c>
      <c r="B44" s="43">
        <f>VLOOKUP(A44,'Return prepared data'!A:L,6,0)</f>
        <v>-0.002960850971</v>
      </c>
      <c r="C44" s="43">
        <f>VLOOKUP(A44,'Return prepared data'!A:L,7,0)</f>
        <v>0.02470809008</v>
      </c>
    </row>
    <row r="45">
      <c r="A45" s="13">
        <v>45796.0</v>
      </c>
      <c r="B45" s="43">
        <f>VLOOKUP(A45,'Return prepared data'!A:L,6,0)</f>
        <v>-0.03256948865</v>
      </c>
      <c r="C45" s="43">
        <f>VLOOKUP(A45,'Return prepared data'!A:L,7,0)</f>
        <v>-0.01932317759</v>
      </c>
    </row>
    <row r="46">
      <c r="A46" s="7">
        <v>45789.0</v>
      </c>
      <c r="B46" s="43">
        <f>VLOOKUP(A46,'Return prepared data'!A:L,6,0)</f>
        <v>0.02256454762</v>
      </c>
      <c r="C46" s="43">
        <f>VLOOKUP(A46,'Return prepared data'!A:L,7,0)</f>
        <v>0.01811179348</v>
      </c>
    </row>
    <row r="47">
      <c r="A47" s="13">
        <v>45782.0</v>
      </c>
      <c r="B47" s="43">
        <f>VLOOKUP(A47,'Return prepared data'!A:L,6,0)</f>
        <v>-0.009881847476</v>
      </c>
      <c r="C47" s="43">
        <f>VLOOKUP(A47,'Return prepared data'!A:L,7,0)</f>
        <v>-0.02049347471</v>
      </c>
    </row>
    <row r="48">
      <c r="A48" s="20">
        <v>45775.0</v>
      </c>
      <c r="B48" s="43">
        <f>VLOOKUP(A48,'Return prepared data'!A:L,6,0)</f>
        <v>0.008121277748</v>
      </c>
      <c r="C48" s="43">
        <f>VLOOKUP(A48,'Return prepared data'!A:L,7,0)</f>
        <v>0.03843303335</v>
      </c>
    </row>
    <row r="49">
      <c r="A49" s="13">
        <v>45768.0</v>
      </c>
      <c r="B49" s="43">
        <f>VLOOKUP(A49,'Return prepared data'!A:L,6,0)</f>
        <v>0.03729080085</v>
      </c>
      <c r="C49" s="43">
        <f>VLOOKUP(A49,'Return prepared data'!A:L,7,0)</f>
        <v>0.02008856248</v>
      </c>
    </row>
    <row r="50">
      <c r="A50" s="7">
        <v>45761.0</v>
      </c>
      <c r="B50" s="43">
        <f>VLOOKUP(A50,'Return prepared data'!A:L,6,0)</f>
        <v>0.003494138864</v>
      </c>
      <c r="C50" s="43">
        <f>VLOOKUP(A50,'Return prepared data'!A:L,7,0)</f>
        <v>0.004556797223</v>
      </c>
    </row>
    <row r="51">
      <c r="A51" s="13">
        <v>45754.0</v>
      </c>
      <c r="B51" s="43">
        <f>VLOOKUP(A51,'Return prepared data'!A:L,6,0)</f>
        <v>-0.03070031684</v>
      </c>
      <c r="C51" s="43">
        <f>VLOOKUP(A51,'Return prepared data'!A:L,7,0)</f>
        <v>0.1154544354</v>
      </c>
    </row>
    <row r="52">
      <c r="A52" s="7">
        <v>45747.0</v>
      </c>
      <c r="B52" s="43">
        <f>VLOOKUP(A52,'Return prepared data'!A:L,6,0)</f>
        <v>-0.07648067803</v>
      </c>
      <c r="C52" s="43">
        <f>VLOOKUP(A52,'Return prepared data'!A:L,7,0)</f>
        <v>-0.02293957668</v>
      </c>
    </row>
    <row r="53">
      <c r="A53" s="13">
        <v>45740.0</v>
      </c>
      <c r="B53" s="43">
        <f>VLOOKUP(A53,'Return prepared data'!A:L,6,0)</f>
        <v>-0.00391959799</v>
      </c>
      <c r="C53" s="43">
        <f>VLOOKUP(A53,'Return prepared data'!A:L,7,0)</f>
        <v>-0.006928135275</v>
      </c>
    </row>
    <row r="54">
      <c r="A54" s="7">
        <v>45733.0</v>
      </c>
      <c r="B54" s="43">
        <f>VLOOKUP(A54,'Return prepared data'!A:L,6,0)</f>
        <v>-0.006093297373</v>
      </c>
      <c r="C54" s="43">
        <f>VLOOKUP(A54,'Return prepared data'!A:L,7,0)</f>
        <v>0.007333806482</v>
      </c>
    </row>
    <row r="55">
      <c r="A55" s="47">
        <v>45726.0</v>
      </c>
      <c r="B55" s="43"/>
      <c r="C55" s="43"/>
    </row>
    <row r="56">
      <c r="A56" s="23"/>
      <c r="B56" s="43"/>
      <c r="C56" s="43"/>
    </row>
    <row r="57">
      <c r="A57" s="23"/>
      <c r="B57" s="43"/>
      <c r="C57" s="43"/>
    </row>
    <row r="58">
      <c r="A58" s="26"/>
      <c r="B58" s="43"/>
      <c r="C58" s="43"/>
    </row>
    <row r="59">
      <c r="A59" s="28"/>
      <c r="B59" s="43"/>
      <c r="C59" s="43"/>
    </row>
    <row r="60">
      <c r="A60" s="30"/>
      <c r="B60" s="43"/>
      <c r="C60" s="43"/>
    </row>
    <row r="61">
      <c r="A61" s="32"/>
      <c r="B61" s="43"/>
      <c r="C61" s="43"/>
    </row>
    <row r="62">
      <c r="A62" s="23"/>
      <c r="B62" s="43"/>
      <c r="C62" s="43"/>
    </row>
    <row r="63">
      <c r="A63" s="23"/>
      <c r="B63" s="43"/>
      <c r="C63" s="43"/>
    </row>
    <row r="64">
      <c r="A64" s="23"/>
      <c r="B64" s="43"/>
      <c r="C64" s="43"/>
    </row>
    <row r="65">
      <c r="A65" s="23"/>
      <c r="B65" s="43"/>
      <c r="C65" s="43"/>
    </row>
    <row r="66">
      <c r="A66" s="1"/>
      <c r="B66" s="43"/>
      <c r="C66" s="43"/>
    </row>
    <row r="67">
      <c r="A67" s="23"/>
      <c r="B67" s="43"/>
      <c r="C67" s="43"/>
    </row>
    <row r="68">
      <c r="A68" s="23"/>
      <c r="B68" s="43"/>
      <c r="C68" s="43"/>
    </row>
    <row r="69">
      <c r="A69" s="23"/>
      <c r="B69" s="43"/>
      <c r="C69" s="43"/>
    </row>
    <row r="70">
      <c r="A70" s="23"/>
      <c r="B70" s="43"/>
      <c r="C70" s="43"/>
    </row>
    <row r="71">
      <c r="A71" s="23"/>
      <c r="B71" s="43"/>
      <c r="C71" s="43"/>
    </row>
    <row r="72">
      <c r="A72" s="23"/>
      <c r="B72" s="43"/>
      <c r="C72" s="43"/>
    </row>
    <row r="73">
      <c r="A73" s="23"/>
      <c r="B73" s="43"/>
      <c r="C73" s="43"/>
    </row>
    <row r="74">
      <c r="A74" s="23"/>
      <c r="B74" s="43"/>
      <c r="C74" s="43"/>
    </row>
    <row r="75">
      <c r="A75" s="23"/>
      <c r="B75" s="43"/>
      <c r="C75" s="43"/>
    </row>
    <row r="76">
      <c r="A76" s="23"/>
      <c r="B76" s="43"/>
      <c r="C76" s="43"/>
    </row>
    <row r="77">
      <c r="A77" s="23"/>
      <c r="B77" s="43"/>
      <c r="C77" s="43"/>
    </row>
    <row r="78">
      <c r="A78" s="23"/>
      <c r="B78" s="43"/>
      <c r="C78" s="43"/>
    </row>
    <row r="79">
      <c r="A79" s="23"/>
      <c r="B79" s="43"/>
      <c r="C79" s="43"/>
    </row>
    <row r="80">
      <c r="A80" s="23"/>
      <c r="B80" s="43"/>
      <c r="C80" s="43"/>
    </row>
    <row r="81">
      <c r="A81" s="23"/>
      <c r="B81" s="43"/>
      <c r="C81" s="43"/>
    </row>
    <row r="82">
      <c r="A82" s="23"/>
      <c r="B82" s="43"/>
      <c r="C82" s="43"/>
    </row>
    <row r="83">
      <c r="A83" s="23"/>
      <c r="B83" s="43"/>
      <c r="C83" s="43"/>
    </row>
    <row r="84">
      <c r="A84" s="23"/>
      <c r="B84" s="43"/>
      <c r="C84" s="43"/>
    </row>
    <row r="85">
      <c r="A85" s="23"/>
      <c r="B85" s="43"/>
      <c r="C85" s="43"/>
    </row>
    <row r="86">
      <c r="A86" s="23"/>
      <c r="B86" s="43"/>
      <c r="C86" s="43"/>
    </row>
    <row r="87">
      <c r="A87" s="23"/>
      <c r="B87" s="43"/>
      <c r="C87" s="43"/>
    </row>
    <row r="88">
      <c r="A88" s="23"/>
      <c r="B88" s="43"/>
      <c r="C88" s="43"/>
    </row>
    <row r="89">
      <c r="A89" s="23"/>
      <c r="B89" s="43"/>
      <c r="C89" s="43"/>
    </row>
    <row r="90">
      <c r="A90" s="23"/>
      <c r="B90" s="43"/>
      <c r="C90" s="43"/>
    </row>
    <row r="91">
      <c r="A91" s="23"/>
      <c r="B91" s="43"/>
      <c r="C91" s="43"/>
    </row>
    <row r="92">
      <c r="A92" s="23"/>
      <c r="B92" s="43"/>
      <c r="C92" s="43"/>
    </row>
    <row r="93">
      <c r="A93" s="23"/>
      <c r="B93" s="43"/>
      <c r="C93" s="43"/>
    </row>
    <row r="94">
      <c r="A94" s="23"/>
      <c r="B94" s="43"/>
      <c r="C94" s="43"/>
    </row>
    <row r="95">
      <c r="A95" s="23"/>
      <c r="B95" s="43"/>
      <c r="C95" s="43"/>
    </row>
    <row r="96">
      <c r="A96" s="23"/>
      <c r="B96" s="43"/>
      <c r="C96" s="43"/>
    </row>
    <row r="97">
      <c r="A97" s="23"/>
      <c r="B97" s="43"/>
      <c r="C97" s="43"/>
    </row>
    <row r="98">
      <c r="A98" s="23"/>
      <c r="B98" s="43"/>
      <c r="C98" s="43"/>
    </row>
    <row r="99">
      <c r="A99" s="23"/>
      <c r="B99" s="43"/>
      <c r="C99" s="43"/>
    </row>
    <row r="100">
      <c r="A100" s="23"/>
      <c r="B100" s="43"/>
      <c r="C100" s="43"/>
    </row>
    <row r="101">
      <c r="A101" s="23"/>
      <c r="B101" s="43"/>
      <c r="C101" s="43"/>
    </row>
    <row r="102">
      <c r="A102" s="23"/>
      <c r="B102" s="43"/>
      <c r="C102" s="43"/>
    </row>
    <row r="103">
      <c r="A103" s="23"/>
      <c r="B103" s="43"/>
      <c r="C103" s="43"/>
    </row>
    <row r="104">
      <c r="A104" s="23"/>
      <c r="B104" s="43"/>
      <c r="C104" s="43"/>
    </row>
    <row r="105">
      <c r="A105" s="23"/>
      <c r="B105" s="43"/>
      <c r="C105" s="43"/>
    </row>
    <row r="106">
      <c r="A106" s="23"/>
      <c r="B106" s="43"/>
      <c r="C106" s="43"/>
    </row>
    <row r="107">
      <c r="A107" s="23"/>
      <c r="B107" s="43"/>
      <c r="C107" s="43"/>
    </row>
    <row r="108">
      <c r="A108" s="23"/>
      <c r="B108" s="43"/>
      <c r="C108" s="43"/>
    </row>
    <row r="109">
      <c r="A109" s="23"/>
      <c r="B109" s="43"/>
      <c r="C109" s="43"/>
    </row>
    <row r="110">
      <c r="A110" s="23"/>
      <c r="B110" s="43"/>
      <c r="C110" s="43"/>
    </row>
    <row r="111">
      <c r="A111" s="23"/>
      <c r="B111" s="43"/>
      <c r="C111" s="43"/>
    </row>
    <row r="112">
      <c r="A112" s="23"/>
      <c r="B112" s="43"/>
      <c r="C112" s="43"/>
    </row>
    <row r="113">
      <c r="A113" s="23"/>
      <c r="B113" s="43"/>
      <c r="C113" s="43"/>
    </row>
    <row r="114">
      <c r="A114" s="23"/>
      <c r="B114" s="43"/>
      <c r="C114" s="43"/>
    </row>
    <row r="115">
      <c r="A115" s="23"/>
      <c r="B115" s="43"/>
      <c r="C115" s="43"/>
    </row>
    <row r="116">
      <c r="A116" s="23"/>
      <c r="B116" s="43"/>
      <c r="C116" s="43"/>
    </row>
    <row r="117">
      <c r="A117" s="23"/>
      <c r="B117" s="43"/>
      <c r="C117" s="43"/>
    </row>
    <row r="118">
      <c r="A118" s="23"/>
      <c r="B118" s="43"/>
      <c r="C118" s="43"/>
    </row>
    <row r="119">
      <c r="A119" s="23"/>
      <c r="B119" s="43"/>
      <c r="C119" s="43"/>
    </row>
    <row r="120">
      <c r="A120" s="23"/>
      <c r="B120" s="43"/>
      <c r="C120" s="43"/>
    </row>
    <row r="121">
      <c r="A121" s="23"/>
      <c r="B121" s="43"/>
      <c r="C121" s="43"/>
    </row>
    <row r="122">
      <c r="A122" s="23"/>
      <c r="B122" s="43"/>
      <c r="C122" s="43"/>
    </row>
    <row r="123">
      <c r="A123" s="23"/>
      <c r="B123" s="43"/>
      <c r="C123" s="43"/>
    </row>
    <row r="124">
      <c r="A124" s="23"/>
      <c r="B124" s="43"/>
      <c r="C124" s="43"/>
    </row>
    <row r="125">
      <c r="A125" s="23"/>
      <c r="B125" s="43"/>
      <c r="C125" s="43"/>
    </row>
    <row r="126">
      <c r="A126" s="23"/>
      <c r="B126" s="43"/>
      <c r="C126" s="43"/>
    </row>
    <row r="127">
      <c r="A127" s="23"/>
      <c r="B127" s="43"/>
      <c r="C127" s="43"/>
    </row>
    <row r="128">
      <c r="A128" s="23"/>
      <c r="B128" s="43"/>
      <c r="C128" s="43"/>
    </row>
    <row r="129">
      <c r="A129" s="23"/>
      <c r="B129" s="43"/>
      <c r="C129" s="43"/>
    </row>
    <row r="130">
      <c r="A130" s="23"/>
      <c r="B130" s="43"/>
      <c r="C130" s="43"/>
    </row>
    <row r="131">
      <c r="A131" s="23"/>
      <c r="B131" s="43"/>
      <c r="C131" s="43"/>
    </row>
    <row r="132">
      <c r="A132" s="23"/>
      <c r="B132" s="43"/>
      <c r="C132" s="43"/>
    </row>
    <row r="133">
      <c r="A133" s="23"/>
      <c r="B133" s="43"/>
      <c r="C133" s="43"/>
    </row>
    <row r="134">
      <c r="A134" s="23"/>
      <c r="B134" s="43"/>
      <c r="C134" s="43"/>
    </row>
    <row r="135">
      <c r="A135" s="23"/>
      <c r="B135" s="43"/>
      <c r="C135" s="43"/>
    </row>
    <row r="136">
      <c r="A136" s="23"/>
      <c r="B136" s="43"/>
      <c r="C136" s="43"/>
    </row>
    <row r="137">
      <c r="A137" s="23"/>
      <c r="B137" s="43"/>
      <c r="C137" s="43"/>
    </row>
    <row r="138">
      <c r="A138" s="23"/>
      <c r="B138" s="43"/>
      <c r="C138" s="43"/>
    </row>
    <row r="139">
      <c r="A139" s="23"/>
      <c r="B139" s="43"/>
      <c r="C139" s="43"/>
    </row>
    <row r="140">
      <c r="A140" s="23"/>
      <c r="B140" s="43"/>
      <c r="C140" s="43"/>
    </row>
    <row r="141">
      <c r="A141" s="23"/>
      <c r="B141" s="43"/>
      <c r="C141" s="43"/>
    </row>
    <row r="142">
      <c r="A142" s="23"/>
      <c r="B142" s="43"/>
      <c r="C142" s="43"/>
    </row>
    <row r="143">
      <c r="A143" s="23"/>
      <c r="B143" s="43"/>
      <c r="C143" s="43"/>
    </row>
    <row r="144">
      <c r="A144" s="23"/>
      <c r="B144" s="43"/>
      <c r="C144" s="43"/>
    </row>
    <row r="145">
      <c r="A145" s="23"/>
      <c r="B145" s="43"/>
      <c r="C145" s="43"/>
    </row>
    <row r="146">
      <c r="A146" s="23"/>
      <c r="B146" s="43"/>
      <c r="C146" s="43"/>
    </row>
    <row r="147">
      <c r="A147" s="23"/>
      <c r="B147" s="43"/>
      <c r="C147" s="43"/>
    </row>
    <row r="148">
      <c r="A148" s="23"/>
      <c r="B148" s="43"/>
      <c r="C148" s="43"/>
    </row>
    <row r="149">
      <c r="A149" s="23"/>
      <c r="B149" s="43"/>
      <c r="C149" s="43"/>
    </row>
    <row r="150">
      <c r="A150" s="23"/>
      <c r="B150" s="43"/>
      <c r="C150" s="43"/>
    </row>
    <row r="151">
      <c r="A151" s="23"/>
      <c r="B151" s="43"/>
      <c r="C151" s="43"/>
    </row>
    <row r="152">
      <c r="A152" s="23"/>
      <c r="B152" s="43"/>
      <c r="C152" s="43"/>
    </row>
    <row r="153">
      <c r="A153" s="23"/>
      <c r="B153" s="43"/>
      <c r="C153" s="43"/>
    </row>
    <row r="154">
      <c r="A154" s="23"/>
      <c r="B154" s="43"/>
      <c r="C154" s="43"/>
    </row>
    <row r="155">
      <c r="A155" s="23"/>
      <c r="B155" s="43"/>
      <c r="C155" s="43"/>
    </row>
    <row r="156">
      <c r="A156" s="23"/>
      <c r="B156" s="43"/>
      <c r="C156" s="43"/>
    </row>
    <row r="157">
      <c r="A157" s="23"/>
      <c r="B157" s="43"/>
      <c r="C157" s="43"/>
    </row>
    <row r="158">
      <c r="A158" s="23"/>
      <c r="B158" s="43"/>
      <c r="C158" s="43"/>
    </row>
    <row r="159">
      <c r="A159" s="23"/>
      <c r="B159" s="43"/>
      <c r="C159" s="43"/>
    </row>
    <row r="160">
      <c r="A160" s="23"/>
      <c r="B160" s="43"/>
      <c r="C160" s="43"/>
    </row>
    <row r="161">
      <c r="A161" s="23"/>
      <c r="B161" s="43"/>
      <c r="C161" s="43"/>
    </row>
    <row r="162">
      <c r="A162" s="23"/>
      <c r="B162" s="43"/>
      <c r="C162" s="43"/>
    </row>
    <row r="163">
      <c r="A163" s="23"/>
      <c r="B163" s="43"/>
      <c r="C163" s="43"/>
    </row>
    <row r="164">
      <c r="A164" s="23"/>
      <c r="B164" s="43"/>
      <c r="C164" s="43"/>
    </row>
    <row r="165">
      <c r="A165" s="23"/>
      <c r="B165" s="43"/>
      <c r="C165" s="43"/>
    </row>
    <row r="166">
      <c r="A166" s="23"/>
      <c r="B166" s="43"/>
      <c r="C166" s="43"/>
    </row>
    <row r="167">
      <c r="A167" s="23"/>
      <c r="B167" s="43"/>
      <c r="C167" s="43"/>
    </row>
    <row r="168">
      <c r="A168" s="23"/>
      <c r="B168" s="43"/>
      <c r="C168" s="43"/>
    </row>
    <row r="169">
      <c r="A169" s="23"/>
      <c r="B169" s="43"/>
      <c r="C169" s="43"/>
    </row>
    <row r="170">
      <c r="A170" s="23"/>
      <c r="B170" s="43"/>
      <c r="C170" s="43"/>
    </row>
    <row r="171">
      <c r="A171" s="23"/>
      <c r="B171" s="43"/>
      <c r="C171" s="43"/>
    </row>
    <row r="172">
      <c r="A172" s="23"/>
      <c r="B172" s="43"/>
      <c r="C172" s="43"/>
    </row>
    <row r="173">
      <c r="A173" s="23"/>
      <c r="B173" s="43"/>
      <c r="C173" s="43"/>
    </row>
    <row r="174">
      <c r="A174" s="23"/>
      <c r="B174" s="43"/>
      <c r="C174" s="43"/>
    </row>
    <row r="175">
      <c r="A175" s="23"/>
      <c r="B175" s="43"/>
      <c r="C175" s="43"/>
    </row>
    <row r="176">
      <c r="A176" s="23"/>
      <c r="B176" s="43"/>
      <c r="C176" s="43"/>
    </row>
    <row r="177">
      <c r="A177" s="23"/>
      <c r="B177" s="43"/>
      <c r="C177" s="43"/>
    </row>
    <row r="178">
      <c r="A178" s="23"/>
      <c r="B178" s="43"/>
      <c r="C178" s="43"/>
    </row>
    <row r="179">
      <c r="A179" s="23"/>
      <c r="B179" s="43"/>
      <c r="C179" s="43"/>
    </row>
    <row r="180">
      <c r="A180" s="23"/>
      <c r="B180" s="43"/>
      <c r="C180" s="43"/>
    </row>
    <row r="181">
      <c r="A181" s="23"/>
      <c r="B181" s="43"/>
      <c r="C181" s="43"/>
    </row>
    <row r="182">
      <c r="A182" s="23"/>
      <c r="B182" s="43"/>
      <c r="C182" s="43"/>
    </row>
    <row r="183">
      <c r="A183" s="23"/>
      <c r="B183" s="43"/>
      <c r="C183" s="43"/>
    </row>
    <row r="184">
      <c r="A184" s="23"/>
      <c r="B184" s="43"/>
      <c r="C184" s="43"/>
    </row>
    <row r="185">
      <c r="A185" s="23"/>
      <c r="B185" s="43"/>
      <c r="C185" s="43"/>
    </row>
    <row r="186">
      <c r="A186" s="23"/>
      <c r="B186" s="43"/>
      <c r="C186" s="43"/>
    </row>
    <row r="187">
      <c r="A187" s="23"/>
      <c r="B187" s="43"/>
      <c r="C187" s="43"/>
    </row>
    <row r="188">
      <c r="A188" s="23"/>
      <c r="B188" s="43"/>
      <c r="C188" s="43"/>
    </row>
    <row r="189">
      <c r="A189" s="23"/>
      <c r="B189" s="43"/>
      <c r="C189" s="43"/>
    </row>
    <row r="190">
      <c r="A190" s="23"/>
      <c r="B190" s="43"/>
      <c r="C190" s="43"/>
    </row>
    <row r="191">
      <c r="A191" s="23"/>
      <c r="B191" s="43"/>
      <c r="C191" s="43"/>
    </row>
    <row r="192">
      <c r="A192" s="23"/>
      <c r="B192" s="43"/>
      <c r="C192" s="43"/>
    </row>
    <row r="193">
      <c r="A193" s="23"/>
      <c r="B193" s="43"/>
      <c r="C193" s="43"/>
    </row>
    <row r="194">
      <c r="A194" s="23"/>
      <c r="B194" s="43"/>
      <c r="C194" s="43"/>
    </row>
    <row r="195">
      <c r="A195" s="23"/>
      <c r="B195" s="43"/>
      <c r="C195" s="43"/>
    </row>
    <row r="196">
      <c r="A196" s="23"/>
      <c r="B196" s="43"/>
      <c r="C196" s="43"/>
    </row>
    <row r="197">
      <c r="A197" s="23"/>
      <c r="B197" s="43"/>
      <c r="C197" s="43"/>
    </row>
    <row r="198">
      <c r="A198" s="23"/>
      <c r="B198" s="43"/>
      <c r="C198" s="43"/>
    </row>
    <row r="199">
      <c r="A199" s="23"/>
      <c r="B199" s="43"/>
      <c r="C199" s="43"/>
    </row>
    <row r="200">
      <c r="A200" s="23"/>
      <c r="B200" s="43"/>
      <c r="C200" s="43"/>
    </row>
    <row r="201">
      <c r="A201" s="23"/>
      <c r="B201" s="43"/>
      <c r="C201" s="43"/>
    </row>
    <row r="202">
      <c r="A202" s="23"/>
      <c r="B202" s="43"/>
      <c r="C202" s="43"/>
    </row>
    <row r="203">
      <c r="A203" s="23"/>
      <c r="B203" s="43"/>
      <c r="C203" s="43"/>
    </row>
    <row r="204">
      <c r="A204" s="23"/>
      <c r="B204" s="43"/>
      <c r="C204" s="43"/>
    </row>
    <row r="205">
      <c r="A205" s="23"/>
      <c r="B205" s="43"/>
      <c r="C205" s="43"/>
    </row>
    <row r="206">
      <c r="A206" s="23"/>
      <c r="B206" s="43"/>
      <c r="C206" s="43"/>
    </row>
    <row r="207">
      <c r="A207" s="23"/>
      <c r="B207" s="43"/>
      <c r="C207" s="43"/>
    </row>
    <row r="208">
      <c r="A208" s="23"/>
      <c r="B208" s="43"/>
      <c r="C208" s="43"/>
    </row>
    <row r="209">
      <c r="A209" s="23"/>
      <c r="B209" s="43"/>
      <c r="C209" s="43"/>
    </row>
    <row r="210">
      <c r="A210" s="23"/>
      <c r="B210" s="43"/>
      <c r="C210" s="43"/>
    </row>
    <row r="211">
      <c r="A211" s="23"/>
      <c r="B211" s="43"/>
      <c r="C211" s="43"/>
    </row>
    <row r="212">
      <c r="A212" s="23"/>
      <c r="B212" s="43"/>
      <c r="C212" s="43"/>
    </row>
    <row r="213">
      <c r="A213" s="23"/>
      <c r="B213" s="43"/>
      <c r="C213" s="43"/>
    </row>
    <row r="214">
      <c r="A214" s="23"/>
      <c r="B214" s="43"/>
      <c r="C214" s="43"/>
    </row>
    <row r="215">
      <c r="A215" s="23"/>
      <c r="B215" s="43"/>
      <c r="C215" s="43"/>
    </row>
    <row r="216">
      <c r="A216" s="23"/>
      <c r="B216" s="43"/>
      <c r="C216" s="43"/>
    </row>
    <row r="217">
      <c r="A217" s="23"/>
      <c r="B217" s="43"/>
      <c r="C217" s="43"/>
    </row>
    <row r="218">
      <c r="A218" s="23"/>
      <c r="B218" s="43"/>
      <c r="C218" s="43"/>
    </row>
    <row r="219">
      <c r="A219" s="23"/>
      <c r="B219" s="43"/>
      <c r="C219" s="43"/>
    </row>
    <row r="220">
      <c r="A220" s="23"/>
      <c r="B220" s="43"/>
      <c r="C220" s="43"/>
    </row>
    <row r="221">
      <c r="A221" s="23"/>
      <c r="B221" s="43"/>
      <c r="C221" s="43"/>
    </row>
    <row r="222">
      <c r="A222" s="23"/>
      <c r="B222" s="43"/>
      <c r="C222" s="43"/>
    </row>
    <row r="223">
      <c r="A223" s="23"/>
      <c r="B223" s="43"/>
      <c r="C223" s="43"/>
    </row>
    <row r="224">
      <c r="A224" s="23"/>
      <c r="B224" s="43"/>
      <c r="C224" s="43"/>
    </row>
    <row r="225">
      <c r="A225" s="23"/>
      <c r="B225" s="43"/>
      <c r="C225" s="43"/>
    </row>
    <row r="226">
      <c r="A226" s="23"/>
      <c r="B226" s="43"/>
      <c r="C226" s="43"/>
    </row>
    <row r="227">
      <c r="A227" s="23"/>
      <c r="B227" s="43"/>
      <c r="C227" s="43"/>
    </row>
    <row r="228">
      <c r="A228" s="23"/>
      <c r="B228" s="43"/>
      <c r="C228" s="43"/>
    </row>
    <row r="229">
      <c r="A229" s="23"/>
      <c r="B229" s="43"/>
      <c r="C229" s="43"/>
    </row>
    <row r="230">
      <c r="A230" s="23"/>
      <c r="B230" s="43"/>
      <c r="C230" s="43"/>
    </row>
    <row r="231">
      <c r="A231" s="23"/>
      <c r="B231" s="43"/>
      <c r="C231" s="43"/>
    </row>
    <row r="232">
      <c r="A232" s="23"/>
      <c r="B232" s="43"/>
      <c r="C232" s="43"/>
    </row>
    <row r="233">
      <c r="A233" s="23"/>
      <c r="B233" s="43"/>
      <c r="C233" s="43"/>
    </row>
    <row r="234">
      <c r="A234" s="23"/>
      <c r="B234" s="43"/>
      <c r="C234" s="43"/>
    </row>
    <row r="235">
      <c r="A235" s="23"/>
      <c r="B235" s="43"/>
      <c r="C235" s="43"/>
    </row>
    <row r="236">
      <c r="A236" s="23"/>
      <c r="B236" s="43"/>
      <c r="C236" s="43"/>
    </row>
    <row r="237">
      <c r="A237" s="23"/>
      <c r="B237" s="43"/>
      <c r="C237" s="43"/>
    </row>
    <row r="238">
      <c r="A238" s="23"/>
      <c r="B238" s="43"/>
      <c r="C238" s="43"/>
    </row>
    <row r="239">
      <c r="A239" s="23"/>
      <c r="B239" s="43"/>
      <c r="C239" s="43"/>
    </row>
    <row r="240">
      <c r="A240" s="23"/>
      <c r="B240" s="43"/>
      <c r="C240" s="43"/>
    </row>
    <row r="241">
      <c r="A241" s="23"/>
      <c r="B241" s="43"/>
      <c r="C241" s="43"/>
    </row>
    <row r="242">
      <c r="A242" s="23"/>
      <c r="B242" s="43"/>
      <c r="C242" s="43"/>
    </row>
    <row r="243">
      <c r="A243" s="23"/>
      <c r="B243" s="43"/>
      <c r="C243" s="43"/>
    </row>
    <row r="244">
      <c r="A244" s="23"/>
      <c r="B244" s="43"/>
      <c r="C244" s="43"/>
    </row>
    <row r="245">
      <c r="A245" s="23"/>
      <c r="B245" s="43"/>
      <c r="C245" s="43"/>
    </row>
    <row r="246">
      <c r="A246" s="23"/>
      <c r="B246" s="43"/>
      <c r="C246" s="43"/>
    </row>
    <row r="247">
      <c r="A247" s="23"/>
      <c r="B247" s="43"/>
      <c r="C247" s="43"/>
    </row>
    <row r="248">
      <c r="A248" s="23"/>
      <c r="B248" s="43"/>
      <c r="C248" s="43"/>
    </row>
    <row r="249">
      <c r="A249" s="23"/>
      <c r="B249" s="43"/>
      <c r="C249" s="43"/>
    </row>
    <row r="250">
      <c r="A250" s="23"/>
      <c r="B250" s="43"/>
      <c r="C250" s="43"/>
    </row>
    <row r="251">
      <c r="A251" s="23"/>
      <c r="B251" s="43"/>
      <c r="C251" s="43"/>
    </row>
    <row r="252">
      <c r="A252" s="23"/>
      <c r="B252" s="43"/>
      <c r="C252" s="43"/>
    </row>
    <row r="253">
      <c r="A253" s="23"/>
      <c r="B253" s="43"/>
      <c r="C253" s="43"/>
    </row>
    <row r="254">
      <c r="A254" s="23"/>
      <c r="B254" s="43"/>
      <c r="C254" s="43"/>
    </row>
    <row r="255">
      <c r="A255" s="23"/>
      <c r="B255" s="43"/>
      <c r="C255" s="43"/>
    </row>
    <row r="256">
      <c r="A256" s="23"/>
      <c r="B256" s="43"/>
      <c r="C256" s="43"/>
    </row>
    <row r="257">
      <c r="A257" s="23"/>
      <c r="B257" s="43"/>
      <c r="C257" s="43"/>
    </row>
    <row r="258">
      <c r="A258" s="23"/>
      <c r="B258" s="43"/>
      <c r="C258" s="43"/>
    </row>
    <row r="259">
      <c r="A259" s="23"/>
      <c r="B259" s="43"/>
      <c r="C259" s="43"/>
    </row>
    <row r="260">
      <c r="A260" s="23"/>
      <c r="B260" s="43"/>
      <c r="C260" s="43"/>
    </row>
    <row r="261">
      <c r="A261" s="23"/>
      <c r="B261" s="43"/>
      <c r="C261" s="43"/>
    </row>
    <row r="262">
      <c r="A262" s="23"/>
      <c r="B262" s="43"/>
      <c r="C262" s="43"/>
    </row>
    <row r="263">
      <c r="A263" s="23"/>
      <c r="B263" s="43"/>
      <c r="C263" s="43"/>
    </row>
    <row r="264">
      <c r="A264" s="23"/>
      <c r="B264" s="43"/>
      <c r="C264" s="43"/>
    </row>
    <row r="265">
      <c r="A265" s="23"/>
      <c r="B265" s="43"/>
      <c r="C265" s="43"/>
    </row>
    <row r="266">
      <c r="A266" s="23"/>
      <c r="B266" s="43"/>
      <c r="C266" s="43"/>
    </row>
    <row r="267">
      <c r="A267" s="23"/>
      <c r="B267" s="43"/>
      <c r="C267" s="43"/>
    </row>
    <row r="268">
      <c r="A268" s="23"/>
      <c r="B268" s="43"/>
      <c r="C268" s="43"/>
    </row>
    <row r="269">
      <c r="A269" s="23"/>
      <c r="B269" s="43"/>
      <c r="C269" s="43"/>
    </row>
    <row r="270">
      <c r="A270" s="23"/>
      <c r="B270" s="43"/>
      <c r="C270" s="43"/>
    </row>
    <row r="271">
      <c r="A271" s="23"/>
      <c r="B271" s="43"/>
      <c r="C271" s="43"/>
    </row>
    <row r="272">
      <c r="A272" s="23"/>
      <c r="B272" s="43"/>
      <c r="C272" s="43"/>
    </row>
    <row r="273">
      <c r="A273" s="23"/>
      <c r="B273" s="43"/>
      <c r="C273" s="43"/>
    </row>
    <row r="274">
      <c r="A274" s="23"/>
      <c r="B274" s="43"/>
      <c r="C274" s="43"/>
    </row>
    <row r="275">
      <c r="A275" s="23"/>
      <c r="B275" s="43"/>
      <c r="C275" s="43"/>
    </row>
    <row r="276">
      <c r="A276" s="23"/>
      <c r="B276" s="43"/>
      <c r="C276" s="43"/>
    </row>
    <row r="277">
      <c r="A277" s="23"/>
      <c r="B277" s="43"/>
      <c r="C277" s="43"/>
    </row>
    <row r="278">
      <c r="A278" s="23"/>
      <c r="B278" s="43"/>
      <c r="C278" s="43"/>
    </row>
    <row r="279">
      <c r="A279" s="23"/>
      <c r="B279" s="43"/>
      <c r="C279" s="43"/>
    </row>
    <row r="280">
      <c r="A280" s="23"/>
      <c r="B280" s="43"/>
      <c r="C280" s="43"/>
    </row>
    <row r="281">
      <c r="A281" s="23"/>
      <c r="B281" s="43"/>
      <c r="C281" s="43"/>
    </row>
    <row r="282">
      <c r="A282" s="23"/>
      <c r="B282" s="43"/>
      <c r="C282" s="43"/>
    </row>
    <row r="283">
      <c r="A283" s="23"/>
      <c r="B283" s="43"/>
      <c r="C283" s="43"/>
    </row>
    <row r="284">
      <c r="A284" s="23"/>
      <c r="B284" s="43"/>
      <c r="C284" s="43"/>
    </row>
    <row r="285">
      <c r="A285" s="23"/>
      <c r="B285" s="43"/>
      <c r="C285" s="43"/>
    </row>
    <row r="286">
      <c r="A286" s="23"/>
      <c r="B286" s="43"/>
      <c r="C286" s="43"/>
    </row>
    <row r="287">
      <c r="A287" s="23"/>
      <c r="B287" s="43"/>
      <c r="C287" s="43"/>
    </row>
    <row r="288">
      <c r="A288" s="23"/>
      <c r="B288" s="43"/>
      <c r="C288" s="43"/>
    </row>
    <row r="289">
      <c r="A289" s="23"/>
      <c r="B289" s="43"/>
      <c r="C289" s="43"/>
    </row>
    <row r="290">
      <c r="A290" s="23"/>
      <c r="B290" s="43"/>
      <c r="C290" s="43"/>
    </row>
    <row r="291">
      <c r="A291" s="23"/>
      <c r="B291" s="43"/>
      <c r="C291" s="43"/>
    </row>
    <row r="292">
      <c r="A292" s="23"/>
      <c r="B292" s="43"/>
      <c r="C292" s="43"/>
    </row>
    <row r="293">
      <c r="A293" s="23"/>
      <c r="B293" s="43"/>
      <c r="C293" s="43"/>
    </row>
    <row r="294">
      <c r="A294" s="23"/>
      <c r="B294" s="43"/>
      <c r="C294" s="43"/>
    </row>
    <row r="295">
      <c r="A295" s="23"/>
      <c r="B295" s="43"/>
      <c r="C295" s="43"/>
    </row>
    <row r="296">
      <c r="A296" s="23"/>
      <c r="B296" s="43"/>
      <c r="C296" s="43"/>
    </row>
    <row r="297">
      <c r="A297" s="23"/>
      <c r="B297" s="43"/>
      <c r="C297" s="43"/>
    </row>
    <row r="298">
      <c r="A298" s="23"/>
      <c r="B298" s="43"/>
      <c r="C298" s="43"/>
    </row>
    <row r="299">
      <c r="A299" s="23"/>
      <c r="B299" s="43"/>
      <c r="C299" s="43"/>
    </row>
    <row r="300">
      <c r="A300" s="23"/>
      <c r="B300" s="43"/>
      <c r="C300" s="43"/>
    </row>
    <row r="301">
      <c r="A301" s="23"/>
      <c r="B301" s="43"/>
      <c r="C301" s="43"/>
    </row>
    <row r="302">
      <c r="A302" s="23"/>
      <c r="B302" s="43"/>
      <c r="C302" s="43"/>
    </row>
    <row r="303">
      <c r="A303" s="23"/>
      <c r="B303" s="43"/>
      <c r="C303" s="43"/>
    </row>
    <row r="304">
      <c r="A304" s="23"/>
      <c r="B304" s="43"/>
      <c r="C304" s="43"/>
    </row>
    <row r="305">
      <c r="A305" s="23"/>
      <c r="B305" s="43"/>
      <c r="C305" s="43"/>
    </row>
    <row r="306">
      <c r="A306" s="23"/>
      <c r="B306" s="43"/>
      <c r="C306" s="43"/>
    </row>
    <row r="307">
      <c r="A307" s="23"/>
      <c r="B307" s="43"/>
      <c r="C307" s="43"/>
    </row>
    <row r="308">
      <c r="A308" s="23"/>
      <c r="B308" s="43"/>
      <c r="C308" s="43"/>
    </row>
    <row r="309">
      <c r="A309" s="23"/>
      <c r="B309" s="43"/>
      <c r="C309" s="43"/>
    </row>
    <row r="310">
      <c r="A310" s="23"/>
      <c r="B310" s="43"/>
      <c r="C310" s="43"/>
    </row>
    <row r="311">
      <c r="A311" s="23"/>
      <c r="B311" s="43"/>
      <c r="C311" s="43"/>
    </row>
    <row r="312">
      <c r="A312" s="23"/>
      <c r="B312" s="43"/>
      <c r="C312" s="43"/>
    </row>
    <row r="313">
      <c r="A313" s="23"/>
      <c r="B313" s="43"/>
      <c r="C313" s="43"/>
    </row>
    <row r="314">
      <c r="A314" s="23"/>
      <c r="B314" s="43"/>
      <c r="C314" s="43"/>
    </row>
    <row r="315">
      <c r="A315" s="23"/>
      <c r="B315" s="43"/>
      <c r="C315" s="43"/>
    </row>
    <row r="316">
      <c r="A316" s="23"/>
      <c r="B316" s="43"/>
      <c r="C316" s="43"/>
    </row>
    <row r="317">
      <c r="A317" s="23"/>
      <c r="B317" s="43"/>
      <c r="C317" s="43"/>
    </row>
    <row r="318">
      <c r="A318" s="23"/>
      <c r="B318" s="43"/>
      <c r="C318" s="43"/>
    </row>
    <row r="319">
      <c r="A319" s="23"/>
      <c r="B319" s="43"/>
      <c r="C319" s="43"/>
    </row>
    <row r="320">
      <c r="A320" s="23"/>
      <c r="B320" s="43"/>
      <c r="C320" s="43"/>
    </row>
    <row r="321">
      <c r="A321" s="23"/>
      <c r="B321" s="43"/>
      <c r="C321" s="43"/>
    </row>
    <row r="322">
      <c r="A322" s="23"/>
      <c r="B322" s="43"/>
      <c r="C322" s="43"/>
    </row>
    <row r="323">
      <c r="A323" s="23"/>
      <c r="B323" s="43"/>
      <c r="C323" s="43"/>
    </row>
    <row r="324">
      <c r="A324" s="23"/>
      <c r="B324" s="43"/>
      <c r="C324" s="43"/>
    </row>
    <row r="325">
      <c r="A325" s="23"/>
      <c r="B325" s="43"/>
      <c r="C325" s="43"/>
    </row>
    <row r="326">
      <c r="A326" s="23"/>
      <c r="B326" s="43"/>
      <c r="C326" s="43"/>
    </row>
    <row r="327">
      <c r="A327" s="23"/>
      <c r="B327" s="43"/>
      <c r="C327" s="43"/>
    </row>
    <row r="328">
      <c r="A328" s="23"/>
      <c r="B328" s="43"/>
      <c r="C328" s="43"/>
    </row>
    <row r="329">
      <c r="A329" s="23"/>
      <c r="B329" s="43"/>
      <c r="C329" s="43"/>
    </row>
    <row r="330">
      <c r="A330" s="23"/>
      <c r="B330" s="43"/>
      <c r="C330" s="43"/>
    </row>
    <row r="331">
      <c r="A331" s="23"/>
      <c r="B331" s="43"/>
      <c r="C331" s="43"/>
    </row>
    <row r="332">
      <c r="A332" s="23"/>
      <c r="B332" s="43"/>
      <c r="C332" s="43"/>
    </row>
    <row r="333">
      <c r="A333" s="23"/>
      <c r="B333" s="43"/>
      <c r="C333" s="43"/>
    </row>
    <row r="334">
      <c r="A334" s="23"/>
      <c r="B334" s="43"/>
      <c r="C334" s="43"/>
    </row>
    <row r="335">
      <c r="A335" s="23"/>
      <c r="B335" s="43"/>
      <c r="C335" s="43"/>
    </row>
    <row r="336">
      <c r="A336" s="23"/>
      <c r="B336" s="43"/>
      <c r="C336" s="43"/>
    </row>
    <row r="337">
      <c r="A337" s="23"/>
      <c r="B337" s="43"/>
      <c r="C337" s="43"/>
    </row>
    <row r="338">
      <c r="A338" s="23"/>
      <c r="B338" s="43"/>
      <c r="C338" s="43"/>
    </row>
    <row r="339">
      <c r="A339" s="23"/>
      <c r="B339" s="43"/>
      <c r="C339" s="43"/>
    </row>
    <row r="340">
      <c r="A340" s="23"/>
      <c r="B340" s="43"/>
      <c r="C340" s="43"/>
    </row>
    <row r="341">
      <c r="A341" s="23"/>
      <c r="B341" s="43"/>
      <c r="C341" s="43"/>
    </row>
    <row r="342">
      <c r="A342" s="23"/>
      <c r="B342" s="43"/>
      <c r="C342" s="43"/>
    </row>
    <row r="343">
      <c r="A343" s="23"/>
      <c r="B343" s="43"/>
      <c r="C343" s="43"/>
    </row>
    <row r="344">
      <c r="A344" s="23"/>
      <c r="B344" s="43"/>
      <c r="C344" s="43"/>
    </row>
    <row r="345">
      <c r="A345" s="23"/>
      <c r="B345" s="43"/>
      <c r="C345" s="43"/>
    </row>
    <row r="346">
      <c r="A346" s="23"/>
      <c r="B346" s="43"/>
      <c r="C346" s="43"/>
    </row>
    <row r="347">
      <c r="A347" s="23"/>
      <c r="B347" s="43"/>
      <c r="C347" s="43"/>
    </row>
    <row r="348">
      <c r="A348" s="23"/>
      <c r="B348" s="43"/>
      <c r="C348" s="43"/>
    </row>
    <row r="349">
      <c r="A349" s="23"/>
      <c r="B349" s="43"/>
      <c r="C349" s="43"/>
    </row>
    <row r="350">
      <c r="A350" s="23"/>
      <c r="B350" s="43"/>
      <c r="C350" s="43"/>
    </row>
    <row r="351">
      <c r="A351" s="23"/>
      <c r="B351" s="43"/>
      <c r="C351" s="43"/>
    </row>
    <row r="352">
      <c r="A352" s="23"/>
      <c r="B352" s="43"/>
      <c r="C352" s="43"/>
    </row>
    <row r="353">
      <c r="A353" s="23"/>
      <c r="B353" s="43"/>
      <c r="C353" s="43"/>
    </row>
    <row r="354">
      <c r="A354" s="23"/>
      <c r="B354" s="43"/>
      <c r="C354" s="43"/>
    </row>
    <row r="355">
      <c r="A355" s="23"/>
      <c r="B355" s="43"/>
      <c r="C355" s="43"/>
    </row>
    <row r="356">
      <c r="A356" s="23"/>
      <c r="B356" s="43"/>
      <c r="C356" s="43"/>
    </row>
    <row r="357">
      <c r="A357" s="23"/>
      <c r="B357" s="43"/>
      <c r="C357" s="43"/>
    </row>
    <row r="358">
      <c r="A358" s="23"/>
      <c r="B358" s="43"/>
      <c r="C358" s="43"/>
    </row>
    <row r="359">
      <c r="A359" s="23"/>
      <c r="B359" s="43"/>
      <c r="C359" s="43"/>
    </row>
    <row r="360">
      <c r="A360" s="23"/>
      <c r="B360" s="43"/>
      <c r="C360" s="43"/>
    </row>
    <row r="361">
      <c r="A361" s="23"/>
      <c r="B361" s="43"/>
      <c r="C361" s="43"/>
    </row>
    <row r="362">
      <c r="A362" s="23"/>
      <c r="B362" s="43"/>
      <c r="C362" s="43"/>
    </row>
    <row r="363">
      <c r="A363" s="23"/>
      <c r="B363" s="43"/>
      <c r="C363" s="43"/>
    </row>
    <row r="364">
      <c r="A364" s="23"/>
      <c r="B364" s="43"/>
      <c r="C364" s="43"/>
    </row>
    <row r="365">
      <c r="A365" s="23"/>
      <c r="B365" s="43"/>
      <c r="C365" s="43"/>
    </row>
    <row r="366">
      <c r="A366" s="23"/>
      <c r="B366" s="43"/>
      <c r="C366" s="43"/>
    </row>
    <row r="367">
      <c r="A367" s="23"/>
      <c r="B367" s="43"/>
      <c r="C367" s="43"/>
    </row>
    <row r="368">
      <c r="A368" s="23"/>
      <c r="B368" s="43"/>
      <c r="C368" s="43"/>
    </row>
    <row r="369">
      <c r="A369" s="23"/>
      <c r="B369" s="43"/>
      <c r="C369" s="43"/>
    </row>
    <row r="370">
      <c r="A370" s="23"/>
      <c r="B370" s="43"/>
      <c r="C370" s="43"/>
    </row>
    <row r="371">
      <c r="A371" s="23"/>
      <c r="B371" s="43"/>
      <c r="C371" s="43"/>
    </row>
    <row r="372">
      <c r="A372" s="23"/>
      <c r="B372" s="43"/>
      <c r="C372" s="43"/>
    </row>
    <row r="373">
      <c r="A373" s="23"/>
      <c r="B373" s="43"/>
      <c r="C373" s="43"/>
    </row>
    <row r="374">
      <c r="A374" s="23"/>
      <c r="B374" s="43"/>
      <c r="C374" s="43"/>
    </row>
    <row r="375">
      <c r="A375" s="23"/>
      <c r="B375" s="43"/>
      <c r="C375" s="43"/>
    </row>
    <row r="376">
      <c r="A376" s="23"/>
      <c r="B376" s="43"/>
      <c r="C376" s="43"/>
    </row>
    <row r="377">
      <c r="A377" s="23"/>
      <c r="B377" s="43"/>
      <c r="C377" s="43"/>
    </row>
    <row r="378">
      <c r="A378" s="23"/>
      <c r="B378" s="43"/>
      <c r="C378" s="43"/>
    </row>
    <row r="379">
      <c r="A379" s="23"/>
      <c r="B379" s="43"/>
      <c r="C379" s="43"/>
    </row>
    <row r="380">
      <c r="A380" s="23"/>
      <c r="B380" s="43"/>
      <c r="C380" s="43"/>
    </row>
    <row r="381">
      <c r="A381" s="23"/>
      <c r="B381" s="43"/>
      <c r="C381" s="43"/>
    </row>
    <row r="382">
      <c r="A382" s="23"/>
      <c r="B382" s="43"/>
      <c r="C382" s="43"/>
    </row>
    <row r="383">
      <c r="A383" s="23"/>
      <c r="B383" s="43"/>
      <c r="C383" s="43"/>
    </row>
    <row r="384">
      <c r="A384" s="23"/>
      <c r="B384" s="43"/>
      <c r="C384" s="43"/>
    </row>
    <row r="385">
      <c r="A385" s="23"/>
      <c r="B385" s="43"/>
      <c r="C385" s="43"/>
    </row>
    <row r="386">
      <c r="A386" s="23"/>
      <c r="B386" s="43"/>
      <c r="C386" s="43"/>
    </row>
    <row r="387">
      <c r="A387" s="23"/>
      <c r="B387" s="43"/>
      <c r="C387" s="43"/>
    </row>
    <row r="388">
      <c r="A388" s="23"/>
      <c r="B388" s="43"/>
      <c r="C388" s="43"/>
    </row>
    <row r="389">
      <c r="A389" s="23"/>
      <c r="B389" s="43"/>
      <c r="C389" s="43"/>
    </row>
    <row r="390">
      <c r="A390" s="23"/>
      <c r="B390" s="43"/>
      <c r="C390" s="43"/>
    </row>
    <row r="391">
      <c r="A391" s="23"/>
      <c r="B391" s="43"/>
      <c r="C391" s="43"/>
    </row>
    <row r="392">
      <c r="A392" s="23"/>
      <c r="B392" s="43"/>
      <c r="C392" s="43"/>
    </row>
    <row r="393">
      <c r="A393" s="23"/>
      <c r="B393" s="43"/>
      <c r="C393" s="43"/>
    </row>
    <row r="394">
      <c r="A394" s="23"/>
      <c r="B394" s="43"/>
      <c r="C394" s="43"/>
    </row>
    <row r="395">
      <c r="A395" s="23"/>
      <c r="B395" s="43"/>
      <c r="C395" s="43"/>
    </row>
    <row r="396">
      <c r="A396" s="23"/>
      <c r="B396" s="43"/>
      <c r="C396" s="43"/>
    </row>
    <row r="397">
      <c r="A397" s="23"/>
      <c r="B397" s="43"/>
      <c r="C397" s="43"/>
    </row>
    <row r="398">
      <c r="A398" s="23"/>
      <c r="B398" s="43"/>
      <c r="C398" s="43"/>
    </row>
    <row r="399">
      <c r="A399" s="23"/>
      <c r="B399" s="43"/>
      <c r="C399" s="43"/>
    </row>
    <row r="400">
      <c r="A400" s="23"/>
      <c r="B400" s="43"/>
      <c r="C400" s="43"/>
    </row>
    <row r="401">
      <c r="A401" s="23"/>
      <c r="B401" s="43"/>
      <c r="C401" s="43"/>
    </row>
    <row r="402">
      <c r="A402" s="23"/>
      <c r="B402" s="43"/>
      <c r="C402" s="43"/>
    </row>
    <row r="403">
      <c r="A403" s="23"/>
      <c r="B403" s="43"/>
      <c r="C403" s="43"/>
    </row>
    <row r="404">
      <c r="A404" s="23"/>
      <c r="B404" s="43"/>
      <c r="C404" s="43"/>
    </row>
    <row r="405">
      <c r="A405" s="23"/>
      <c r="B405" s="43"/>
      <c r="C405" s="43"/>
    </row>
    <row r="406">
      <c r="A406" s="23"/>
      <c r="B406" s="43"/>
      <c r="C406" s="43"/>
    </row>
    <row r="407">
      <c r="A407" s="23"/>
      <c r="B407" s="43"/>
      <c r="C407" s="43"/>
    </row>
    <row r="408">
      <c r="A408" s="23"/>
      <c r="B408" s="43"/>
      <c r="C408" s="43"/>
    </row>
    <row r="409">
      <c r="A409" s="23"/>
      <c r="B409" s="43"/>
      <c r="C409" s="43"/>
    </row>
    <row r="410">
      <c r="A410" s="23"/>
      <c r="B410" s="43"/>
      <c r="C410" s="43"/>
    </row>
    <row r="411">
      <c r="A411" s="23"/>
      <c r="B411" s="43"/>
      <c r="C411" s="43"/>
    </row>
    <row r="412">
      <c r="A412" s="23"/>
      <c r="B412" s="43"/>
      <c r="C412" s="43"/>
    </row>
    <row r="413">
      <c r="A413" s="23"/>
      <c r="B413" s="43"/>
      <c r="C413" s="43"/>
    </row>
    <row r="414">
      <c r="A414" s="23"/>
      <c r="B414" s="43"/>
      <c r="C414" s="43"/>
    </row>
    <row r="415">
      <c r="A415" s="23"/>
      <c r="B415" s="43"/>
      <c r="C415" s="43"/>
    </row>
    <row r="416">
      <c r="A416" s="23"/>
      <c r="B416" s="43"/>
      <c r="C416" s="43"/>
    </row>
    <row r="417">
      <c r="A417" s="23"/>
      <c r="B417" s="43"/>
      <c r="C417" s="43"/>
    </row>
    <row r="418">
      <c r="A418" s="23"/>
      <c r="B418" s="43"/>
      <c r="C418" s="43"/>
    </row>
    <row r="419">
      <c r="A419" s="23"/>
      <c r="B419" s="43"/>
      <c r="C419" s="43"/>
    </row>
    <row r="420">
      <c r="A420" s="23"/>
      <c r="B420" s="43"/>
      <c r="C420" s="43"/>
    </row>
    <row r="421">
      <c r="A421" s="23"/>
      <c r="B421" s="43"/>
      <c r="C421" s="43"/>
    </row>
    <row r="422">
      <c r="A422" s="23"/>
      <c r="B422" s="43"/>
      <c r="C422" s="43"/>
    </row>
    <row r="423">
      <c r="A423" s="23"/>
      <c r="B423" s="43"/>
      <c r="C423" s="43"/>
    </row>
    <row r="424">
      <c r="A424" s="23"/>
      <c r="B424" s="43"/>
      <c r="C424" s="43"/>
    </row>
    <row r="425">
      <c r="A425" s="23"/>
      <c r="B425" s="43"/>
      <c r="C425" s="43"/>
    </row>
    <row r="426">
      <c r="A426" s="23"/>
      <c r="B426" s="43"/>
      <c r="C426" s="43"/>
    </row>
    <row r="427">
      <c r="A427" s="23"/>
      <c r="B427" s="43"/>
      <c r="C427" s="43"/>
    </row>
    <row r="428">
      <c r="A428" s="23"/>
      <c r="B428" s="43"/>
      <c r="C428" s="43"/>
    </row>
    <row r="429">
      <c r="A429" s="23"/>
      <c r="B429" s="43"/>
      <c r="C429" s="43"/>
    </row>
    <row r="430">
      <c r="A430" s="23"/>
      <c r="B430" s="43"/>
      <c r="C430" s="43"/>
    </row>
    <row r="431">
      <c r="A431" s="23"/>
      <c r="B431" s="43"/>
      <c r="C431" s="43"/>
    </row>
    <row r="432">
      <c r="A432" s="23"/>
      <c r="B432" s="43"/>
      <c r="C432" s="43"/>
    </row>
    <row r="433">
      <c r="A433" s="23"/>
      <c r="B433" s="43"/>
      <c r="C433" s="43"/>
    </row>
    <row r="434">
      <c r="A434" s="23"/>
      <c r="B434" s="43"/>
      <c r="C434" s="43"/>
    </row>
    <row r="435">
      <c r="A435" s="23"/>
      <c r="B435" s="43"/>
      <c r="C435" s="43"/>
    </row>
    <row r="436">
      <c r="A436" s="23"/>
      <c r="B436" s="43"/>
      <c r="C436" s="43"/>
    </row>
    <row r="437">
      <c r="A437" s="23"/>
      <c r="B437" s="43"/>
      <c r="C437" s="43"/>
    </row>
    <row r="438">
      <c r="A438" s="23"/>
      <c r="B438" s="43"/>
      <c r="C438" s="43"/>
    </row>
    <row r="439">
      <c r="A439" s="23"/>
      <c r="B439" s="43"/>
      <c r="C439" s="43"/>
    </row>
    <row r="440">
      <c r="A440" s="23"/>
      <c r="B440" s="43"/>
      <c r="C440" s="43"/>
    </row>
    <row r="441">
      <c r="A441" s="23"/>
      <c r="B441" s="43"/>
      <c r="C441" s="43"/>
    </row>
    <row r="442">
      <c r="A442" s="23"/>
      <c r="B442" s="43"/>
      <c r="C442" s="43"/>
    </row>
    <row r="443">
      <c r="A443" s="23"/>
      <c r="B443" s="43"/>
      <c r="C443" s="43"/>
    </row>
    <row r="444">
      <c r="A444" s="23"/>
      <c r="B444" s="43"/>
      <c r="C444" s="43"/>
    </row>
    <row r="445">
      <c r="A445" s="23"/>
      <c r="B445" s="43"/>
      <c r="C445" s="43"/>
    </row>
    <row r="446">
      <c r="A446" s="23"/>
      <c r="B446" s="43"/>
      <c r="C446" s="43"/>
    </row>
    <row r="447">
      <c r="A447" s="23"/>
      <c r="B447" s="43"/>
      <c r="C447" s="43"/>
    </row>
    <row r="448">
      <c r="A448" s="23"/>
      <c r="B448" s="43"/>
      <c r="C448" s="43"/>
    </row>
    <row r="449">
      <c r="A449" s="23"/>
      <c r="B449" s="43"/>
      <c r="C449" s="43"/>
    </row>
    <row r="450">
      <c r="A450" s="23"/>
      <c r="B450" s="43"/>
      <c r="C450" s="43"/>
    </row>
    <row r="451">
      <c r="A451" s="23"/>
      <c r="B451" s="43"/>
      <c r="C451" s="43"/>
    </row>
    <row r="452">
      <c r="A452" s="23"/>
      <c r="B452" s="43"/>
      <c r="C452" s="43"/>
    </row>
    <row r="453">
      <c r="A453" s="23"/>
      <c r="B453" s="43"/>
      <c r="C453" s="43"/>
    </row>
    <row r="454">
      <c r="A454" s="23"/>
      <c r="B454" s="43"/>
      <c r="C454" s="43"/>
    </row>
    <row r="455">
      <c r="A455" s="23"/>
      <c r="B455" s="43"/>
      <c r="C455" s="43"/>
    </row>
    <row r="456">
      <c r="A456" s="23"/>
      <c r="B456" s="43"/>
      <c r="C456" s="43"/>
    </row>
    <row r="457">
      <c r="A457" s="23"/>
      <c r="B457" s="43"/>
      <c r="C457" s="43"/>
    </row>
    <row r="458">
      <c r="A458" s="23"/>
      <c r="B458" s="43"/>
      <c r="C458" s="43"/>
    </row>
    <row r="459">
      <c r="A459" s="23"/>
      <c r="B459" s="43"/>
      <c r="C459" s="43"/>
    </row>
    <row r="460">
      <c r="A460" s="23"/>
      <c r="B460" s="43"/>
      <c r="C460" s="43"/>
    </row>
    <row r="461">
      <c r="A461" s="23"/>
      <c r="B461" s="43"/>
      <c r="C461" s="43"/>
    </row>
    <row r="462">
      <c r="A462" s="23"/>
      <c r="B462" s="43"/>
      <c r="C462" s="43"/>
    </row>
    <row r="463">
      <c r="A463" s="23"/>
      <c r="B463" s="43"/>
      <c r="C463" s="43"/>
    </row>
    <row r="464">
      <c r="A464" s="23"/>
      <c r="B464" s="43"/>
      <c r="C464" s="43"/>
    </row>
    <row r="465">
      <c r="A465" s="23"/>
      <c r="B465" s="43"/>
      <c r="C465" s="43"/>
    </row>
    <row r="466">
      <c r="A466" s="23"/>
      <c r="B466" s="43"/>
      <c r="C466" s="43"/>
    </row>
    <row r="467">
      <c r="A467" s="23"/>
      <c r="B467" s="43"/>
      <c r="C467" s="43"/>
    </row>
    <row r="468">
      <c r="A468" s="23"/>
      <c r="B468" s="43"/>
      <c r="C468" s="43"/>
    </row>
    <row r="469">
      <c r="A469" s="23"/>
      <c r="B469" s="43"/>
      <c r="C469" s="43"/>
    </row>
    <row r="470">
      <c r="A470" s="23"/>
      <c r="B470" s="43"/>
      <c r="C470" s="43"/>
    </row>
    <row r="471">
      <c r="A471" s="23"/>
      <c r="B471" s="43"/>
      <c r="C471" s="43"/>
    </row>
    <row r="472">
      <c r="A472" s="23"/>
      <c r="B472" s="43"/>
      <c r="C472" s="43"/>
    </row>
    <row r="473">
      <c r="A473" s="23"/>
      <c r="B473" s="43"/>
      <c r="C473" s="43"/>
    </row>
    <row r="474">
      <c r="A474" s="23"/>
      <c r="B474" s="43"/>
      <c r="C474" s="43"/>
    </row>
    <row r="475">
      <c r="A475" s="23"/>
      <c r="B475" s="43"/>
      <c r="C475" s="43"/>
    </row>
    <row r="476">
      <c r="A476" s="23"/>
      <c r="B476" s="43"/>
      <c r="C476" s="43"/>
    </row>
    <row r="477">
      <c r="A477" s="23"/>
      <c r="B477" s="43"/>
      <c r="C477" s="43"/>
    </row>
    <row r="478">
      <c r="A478" s="23"/>
      <c r="B478" s="43"/>
      <c r="C478" s="43"/>
    </row>
    <row r="479">
      <c r="A479" s="23"/>
      <c r="B479" s="43"/>
      <c r="C479" s="43"/>
    </row>
    <row r="480">
      <c r="A480" s="23"/>
      <c r="B480" s="43"/>
      <c r="C480" s="43"/>
    </row>
    <row r="481">
      <c r="A481" s="23"/>
      <c r="B481" s="43"/>
      <c r="C481" s="43"/>
    </row>
    <row r="482">
      <c r="A482" s="23"/>
      <c r="B482" s="43"/>
      <c r="C482" s="43"/>
    </row>
    <row r="483">
      <c r="A483" s="23"/>
      <c r="B483" s="43"/>
      <c r="C483" s="43"/>
    </row>
    <row r="484">
      <c r="A484" s="23"/>
      <c r="B484" s="43"/>
      <c r="C484" s="43"/>
    </row>
    <row r="485">
      <c r="A485" s="23"/>
      <c r="B485" s="43"/>
      <c r="C485" s="43"/>
    </row>
    <row r="486">
      <c r="A486" s="23"/>
      <c r="B486" s="43"/>
      <c r="C486" s="43"/>
    </row>
    <row r="487">
      <c r="A487" s="23"/>
      <c r="B487" s="43"/>
      <c r="C487" s="43"/>
    </row>
    <row r="488">
      <c r="A488" s="23"/>
      <c r="B488" s="43"/>
      <c r="C488" s="43"/>
    </row>
    <row r="489">
      <c r="A489" s="23"/>
      <c r="B489" s="43"/>
      <c r="C489" s="43"/>
    </row>
    <row r="490">
      <c r="A490" s="23"/>
      <c r="B490" s="43"/>
      <c r="C490" s="43"/>
    </row>
    <row r="491">
      <c r="A491" s="23"/>
      <c r="B491" s="43"/>
      <c r="C491" s="43"/>
    </row>
    <row r="492">
      <c r="A492" s="23"/>
      <c r="B492" s="43"/>
      <c r="C492" s="43"/>
    </row>
    <row r="493">
      <c r="A493" s="23"/>
      <c r="B493" s="43"/>
      <c r="C493" s="43"/>
    </row>
    <row r="494">
      <c r="A494" s="23"/>
      <c r="B494" s="43"/>
      <c r="C494" s="43"/>
    </row>
    <row r="495">
      <c r="A495" s="23"/>
      <c r="B495" s="43"/>
      <c r="C495" s="43"/>
    </row>
    <row r="496">
      <c r="A496" s="23"/>
      <c r="B496" s="43"/>
      <c r="C496" s="43"/>
    </row>
    <row r="497">
      <c r="A497" s="23"/>
      <c r="B497" s="43"/>
      <c r="C497" s="43"/>
    </row>
    <row r="498">
      <c r="A498" s="23"/>
      <c r="B498" s="43"/>
      <c r="C498" s="43"/>
    </row>
    <row r="499">
      <c r="A499" s="23"/>
      <c r="B499" s="43"/>
      <c r="C499" s="43"/>
    </row>
    <row r="500">
      <c r="A500" s="23"/>
      <c r="B500" s="43"/>
      <c r="C500" s="43"/>
    </row>
    <row r="501">
      <c r="A501" s="23"/>
      <c r="B501" s="43"/>
      <c r="C501" s="43"/>
    </row>
    <row r="502">
      <c r="A502" s="23"/>
      <c r="B502" s="43"/>
      <c r="C502" s="43"/>
    </row>
    <row r="503">
      <c r="A503" s="23"/>
      <c r="B503" s="43"/>
      <c r="C503" s="43"/>
    </row>
    <row r="504">
      <c r="A504" s="23"/>
      <c r="B504" s="43"/>
      <c r="C504" s="43"/>
    </row>
    <row r="505">
      <c r="A505" s="23"/>
      <c r="B505" s="43"/>
      <c r="C505" s="43"/>
    </row>
    <row r="506">
      <c r="A506" s="23"/>
      <c r="B506" s="43"/>
      <c r="C506" s="43"/>
    </row>
    <row r="507">
      <c r="A507" s="23"/>
      <c r="B507" s="43"/>
      <c r="C507" s="43"/>
    </row>
    <row r="508">
      <c r="A508" s="23"/>
      <c r="B508" s="43"/>
      <c r="C508" s="43"/>
    </row>
    <row r="509">
      <c r="A509" s="23"/>
      <c r="B509" s="43"/>
      <c r="C509" s="43"/>
    </row>
    <row r="510">
      <c r="A510" s="23"/>
      <c r="B510" s="43"/>
      <c r="C510" s="43"/>
    </row>
    <row r="511">
      <c r="A511" s="23"/>
      <c r="B511" s="43"/>
      <c r="C511" s="43"/>
    </row>
    <row r="512">
      <c r="A512" s="23"/>
      <c r="B512" s="43"/>
      <c r="C512" s="43"/>
    </row>
    <row r="513">
      <c r="A513" s="23"/>
      <c r="B513" s="43"/>
      <c r="C513" s="43"/>
    </row>
    <row r="514">
      <c r="A514" s="23"/>
      <c r="B514" s="43"/>
      <c r="C514" s="43"/>
    </row>
    <row r="515">
      <c r="A515" s="23"/>
      <c r="B515" s="43"/>
      <c r="C515" s="43"/>
    </row>
    <row r="516">
      <c r="A516" s="23"/>
      <c r="B516" s="43"/>
      <c r="C516" s="43"/>
    </row>
    <row r="517">
      <c r="A517" s="23"/>
      <c r="B517" s="43"/>
      <c r="C517" s="43"/>
    </row>
    <row r="518">
      <c r="A518" s="23"/>
      <c r="B518" s="43"/>
      <c r="C518" s="43"/>
    </row>
    <row r="519">
      <c r="A519" s="23"/>
      <c r="B519" s="43"/>
      <c r="C519" s="43"/>
    </row>
    <row r="520">
      <c r="A520" s="23"/>
      <c r="B520" s="43"/>
      <c r="C520" s="43"/>
    </row>
    <row r="521">
      <c r="A521" s="23"/>
      <c r="B521" s="43"/>
      <c r="C521" s="43"/>
    </row>
    <row r="522">
      <c r="A522" s="23"/>
      <c r="B522" s="43"/>
      <c r="C522" s="43"/>
    </row>
    <row r="523">
      <c r="A523" s="23"/>
      <c r="B523" s="43"/>
      <c r="C523" s="43"/>
    </row>
    <row r="524">
      <c r="A524" s="23"/>
      <c r="B524" s="43"/>
      <c r="C524" s="43"/>
    </row>
    <row r="525">
      <c r="A525" s="23"/>
      <c r="B525" s="43"/>
      <c r="C525" s="43"/>
    </row>
    <row r="526">
      <c r="A526" s="23"/>
      <c r="B526" s="43"/>
      <c r="C526" s="43"/>
    </row>
    <row r="527">
      <c r="A527" s="23"/>
      <c r="B527" s="43"/>
      <c r="C527" s="43"/>
    </row>
    <row r="528">
      <c r="A528" s="23"/>
      <c r="B528" s="43"/>
      <c r="C528" s="43"/>
    </row>
    <row r="529">
      <c r="A529" s="23"/>
      <c r="B529" s="43"/>
      <c r="C529" s="43"/>
    </row>
    <row r="530">
      <c r="A530" s="23"/>
      <c r="B530" s="43"/>
      <c r="C530" s="43"/>
    </row>
    <row r="531">
      <c r="A531" s="23"/>
      <c r="B531" s="43"/>
      <c r="C531" s="43"/>
    </row>
    <row r="532">
      <c r="A532" s="23"/>
      <c r="B532" s="43"/>
      <c r="C532" s="43"/>
    </row>
    <row r="533">
      <c r="A533" s="23"/>
      <c r="B533" s="43"/>
      <c r="C533" s="43"/>
    </row>
    <row r="534">
      <c r="A534" s="23"/>
      <c r="B534" s="43"/>
      <c r="C534" s="43"/>
    </row>
    <row r="535">
      <c r="A535" s="23"/>
      <c r="B535" s="43"/>
      <c r="C535" s="43"/>
    </row>
    <row r="536">
      <c r="A536" s="23"/>
      <c r="B536" s="43"/>
      <c r="C536" s="43"/>
    </row>
    <row r="537">
      <c r="A537" s="23"/>
      <c r="B537" s="43"/>
      <c r="C537" s="43"/>
    </row>
    <row r="538">
      <c r="A538" s="23"/>
      <c r="B538" s="43"/>
      <c r="C538" s="43"/>
    </row>
    <row r="539">
      <c r="A539" s="23"/>
      <c r="B539" s="43"/>
      <c r="C539" s="43"/>
    </row>
    <row r="540">
      <c r="A540" s="23"/>
      <c r="B540" s="43"/>
      <c r="C540" s="43"/>
    </row>
    <row r="541">
      <c r="A541" s="23"/>
      <c r="B541" s="43"/>
      <c r="C541" s="43"/>
    </row>
    <row r="542">
      <c r="A542" s="23"/>
      <c r="B542" s="43"/>
      <c r="C542" s="43"/>
    </row>
    <row r="543">
      <c r="A543" s="23"/>
      <c r="B543" s="43"/>
      <c r="C543" s="43"/>
    </row>
    <row r="544">
      <c r="A544" s="23"/>
      <c r="B544" s="43"/>
      <c r="C544" s="43"/>
    </row>
    <row r="545">
      <c r="A545" s="23"/>
      <c r="B545" s="43"/>
      <c r="C545" s="43"/>
    </row>
    <row r="546">
      <c r="A546" s="23"/>
      <c r="B546" s="43"/>
      <c r="C546" s="43"/>
    </row>
    <row r="547">
      <c r="A547" s="23"/>
      <c r="B547" s="43"/>
      <c r="C547" s="43"/>
    </row>
    <row r="548">
      <c r="A548" s="23"/>
      <c r="B548" s="43"/>
      <c r="C548" s="43"/>
    </row>
    <row r="549">
      <c r="A549" s="23"/>
      <c r="B549" s="43"/>
      <c r="C549" s="43"/>
    </row>
    <row r="550">
      <c r="A550" s="23"/>
      <c r="B550" s="43"/>
      <c r="C550" s="43"/>
    </row>
    <row r="551">
      <c r="A551" s="23"/>
      <c r="B551" s="43"/>
      <c r="C551" s="43"/>
    </row>
    <row r="552">
      <c r="A552" s="23"/>
      <c r="B552" s="43"/>
      <c r="C552" s="43"/>
    </row>
    <row r="553">
      <c r="A553" s="23"/>
      <c r="B553" s="43"/>
      <c r="C553" s="43"/>
    </row>
    <row r="554">
      <c r="A554" s="23"/>
      <c r="B554" s="43"/>
      <c r="C554" s="43"/>
    </row>
    <row r="555">
      <c r="A555" s="23"/>
      <c r="B555" s="43"/>
      <c r="C555" s="43"/>
    </row>
    <row r="556">
      <c r="A556" s="23"/>
      <c r="B556" s="43"/>
      <c r="C556" s="43"/>
    </row>
    <row r="557">
      <c r="A557" s="23"/>
      <c r="B557" s="43"/>
      <c r="C557" s="43"/>
    </row>
    <row r="558">
      <c r="A558" s="23"/>
      <c r="B558" s="43"/>
      <c r="C558" s="43"/>
    </row>
    <row r="559">
      <c r="A559" s="23"/>
      <c r="B559" s="43"/>
      <c r="C559" s="43"/>
    </row>
    <row r="560">
      <c r="A560" s="23"/>
      <c r="B560" s="43"/>
      <c r="C560" s="43"/>
    </row>
    <row r="561">
      <c r="A561" s="23"/>
      <c r="B561" s="43"/>
      <c r="C561" s="43"/>
    </row>
    <row r="562">
      <c r="A562" s="23"/>
      <c r="B562" s="43"/>
      <c r="C562" s="43"/>
    </row>
    <row r="563">
      <c r="A563" s="23"/>
      <c r="B563" s="43"/>
      <c r="C563" s="43"/>
    </row>
    <row r="564">
      <c r="A564" s="23"/>
      <c r="B564" s="43"/>
      <c r="C564" s="43"/>
    </row>
    <row r="565">
      <c r="A565" s="23"/>
      <c r="B565" s="43"/>
      <c r="C565" s="43"/>
    </row>
    <row r="566">
      <c r="A566" s="23"/>
      <c r="B566" s="43"/>
      <c r="C566" s="43"/>
    </row>
    <row r="567">
      <c r="A567" s="23"/>
      <c r="B567" s="43"/>
      <c r="C567" s="43"/>
    </row>
    <row r="568">
      <c r="A568" s="23"/>
      <c r="B568" s="43"/>
      <c r="C568" s="43"/>
    </row>
    <row r="569">
      <c r="A569" s="23"/>
      <c r="B569" s="43"/>
      <c r="C569" s="43"/>
    </row>
    <row r="570">
      <c r="A570" s="23"/>
      <c r="B570" s="43"/>
      <c r="C570" s="43"/>
    </row>
    <row r="571">
      <c r="A571" s="23"/>
      <c r="B571" s="43"/>
      <c r="C571" s="43"/>
    </row>
    <row r="572">
      <c r="A572" s="23"/>
      <c r="B572" s="43"/>
      <c r="C572" s="43"/>
    </row>
    <row r="573">
      <c r="A573" s="23"/>
      <c r="B573" s="43"/>
      <c r="C573" s="43"/>
    </row>
    <row r="574">
      <c r="A574" s="23"/>
      <c r="B574" s="43"/>
      <c r="C574" s="43"/>
    </row>
    <row r="575">
      <c r="A575" s="23"/>
      <c r="B575" s="43"/>
      <c r="C575" s="43"/>
    </row>
    <row r="576">
      <c r="A576" s="23"/>
      <c r="B576" s="43"/>
      <c r="C576" s="43"/>
    </row>
    <row r="577">
      <c r="A577" s="23"/>
      <c r="B577" s="43"/>
      <c r="C577" s="43"/>
    </row>
    <row r="578">
      <c r="A578" s="23"/>
      <c r="B578" s="43"/>
      <c r="C578" s="43"/>
    </row>
    <row r="579">
      <c r="A579" s="23"/>
      <c r="B579" s="43"/>
      <c r="C579" s="43"/>
    </row>
    <row r="580">
      <c r="A580" s="23"/>
      <c r="B580" s="43"/>
      <c r="C580" s="43"/>
    </row>
    <row r="581">
      <c r="A581" s="23"/>
      <c r="B581" s="43"/>
      <c r="C581" s="43"/>
    </row>
    <row r="582">
      <c r="A582" s="23"/>
      <c r="B582" s="43"/>
      <c r="C582" s="43"/>
    </row>
    <row r="583">
      <c r="A583" s="23"/>
      <c r="B583" s="43"/>
      <c r="C583" s="43"/>
    </row>
    <row r="584">
      <c r="A584" s="23"/>
      <c r="B584" s="43"/>
      <c r="C584" s="43"/>
    </row>
    <row r="585">
      <c r="A585" s="23"/>
      <c r="B585" s="43"/>
      <c r="C585" s="43"/>
    </row>
    <row r="586">
      <c r="A586" s="23"/>
      <c r="B586" s="43"/>
      <c r="C586" s="43"/>
    </row>
    <row r="587">
      <c r="A587" s="23"/>
      <c r="B587" s="43"/>
      <c r="C587" s="43"/>
    </row>
    <row r="588">
      <c r="A588" s="23"/>
      <c r="B588" s="43"/>
      <c r="C588" s="43"/>
    </row>
    <row r="589">
      <c r="A589" s="23"/>
      <c r="B589" s="43"/>
      <c r="C589" s="43"/>
    </row>
    <row r="590">
      <c r="A590" s="23"/>
      <c r="B590" s="43"/>
      <c r="C590" s="43"/>
    </row>
    <row r="591">
      <c r="A591" s="23"/>
      <c r="B591" s="43"/>
      <c r="C591" s="43"/>
    </row>
    <row r="592">
      <c r="A592" s="23"/>
      <c r="B592" s="43"/>
      <c r="C592" s="43"/>
    </row>
    <row r="593">
      <c r="A593" s="23"/>
      <c r="B593" s="43"/>
      <c r="C593" s="43"/>
    </row>
    <row r="594">
      <c r="A594" s="23"/>
      <c r="B594" s="43"/>
      <c r="C594" s="43"/>
    </row>
    <row r="595">
      <c r="A595" s="23"/>
      <c r="B595" s="43"/>
      <c r="C595" s="43"/>
    </row>
    <row r="596">
      <c r="A596" s="23"/>
      <c r="B596" s="43"/>
      <c r="C596" s="43"/>
    </row>
    <row r="597">
      <c r="A597" s="23"/>
      <c r="B597" s="43"/>
      <c r="C597" s="43"/>
    </row>
    <row r="598">
      <c r="A598" s="23"/>
      <c r="B598" s="43"/>
      <c r="C598" s="43"/>
    </row>
    <row r="599">
      <c r="A599" s="23"/>
      <c r="B599" s="43"/>
      <c r="C599" s="43"/>
    </row>
    <row r="600">
      <c r="A600" s="23"/>
      <c r="B600" s="43"/>
      <c r="C600" s="43"/>
    </row>
    <row r="601">
      <c r="A601" s="23"/>
      <c r="B601" s="43"/>
      <c r="C601" s="43"/>
    </row>
    <row r="602">
      <c r="A602" s="23"/>
      <c r="B602" s="43"/>
      <c r="C602" s="43"/>
    </row>
    <row r="603">
      <c r="A603" s="23"/>
      <c r="B603" s="43"/>
      <c r="C603" s="43"/>
    </row>
    <row r="604">
      <c r="A604" s="23"/>
      <c r="B604" s="43"/>
      <c r="C604" s="43"/>
    </row>
    <row r="605">
      <c r="A605" s="23"/>
      <c r="B605" s="43"/>
      <c r="C605" s="43"/>
    </row>
    <row r="606">
      <c r="A606" s="23"/>
      <c r="B606" s="43"/>
      <c r="C606" s="43"/>
    </row>
    <row r="607">
      <c r="A607" s="23"/>
      <c r="B607" s="43"/>
      <c r="C607" s="43"/>
    </row>
    <row r="608">
      <c r="A608" s="23"/>
      <c r="B608" s="43"/>
      <c r="C608" s="43"/>
    </row>
    <row r="609">
      <c r="A609" s="23"/>
      <c r="B609" s="43"/>
      <c r="C609" s="43"/>
    </row>
    <row r="610">
      <c r="A610" s="23"/>
      <c r="B610" s="43"/>
      <c r="C610" s="43"/>
    </row>
    <row r="611">
      <c r="A611" s="23"/>
      <c r="B611" s="43"/>
      <c r="C611" s="43"/>
    </row>
    <row r="612">
      <c r="A612" s="23"/>
      <c r="B612" s="43"/>
      <c r="C612" s="43"/>
    </row>
    <row r="613">
      <c r="A613" s="23"/>
      <c r="B613" s="43"/>
      <c r="C613" s="43"/>
    </row>
    <row r="614">
      <c r="A614" s="23"/>
      <c r="B614" s="43"/>
      <c r="C614" s="43"/>
    </row>
    <row r="615">
      <c r="A615" s="23"/>
      <c r="B615" s="43"/>
      <c r="C615" s="43"/>
    </row>
    <row r="616">
      <c r="A616" s="23"/>
      <c r="B616" s="43"/>
      <c r="C616" s="43"/>
    </row>
    <row r="617">
      <c r="A617" s="23"/>
      <c r="B617" s="43"/>
      <c r="C617" s="43"/>
    </row>
    <row r="618">
      <c r="A618" s="23"/>
      <c r="B618" s="43"/>
      <c r="C618" s="43"/>
    </row>
    <row r="619">
      <c r="A619" s="23"/>
      <c r="B619" s="43"/>
      <c r="C619" s="43"/>
    </row>
    <row r="620">
      <c r="A620" s="23"/>
      <c r="B620" s="43"/>
      <c r="C620" s="43"/>
    </row>
    <row r="621">
      <c r="A621" s="23"/>
      <c r="B621" s="43"/>
      <c r="C621" s="43"/>
    </row>
    <row r="622">
      <c r="A622" s="23"/>
      <c r="B622" s="43"/>
      <c r="C622" s="43"/>
    </row>
    <row r="623">
      <c r="A623" s="23"/>
      <c r="B623" s="43"/>
      <c r="C623" s="43"/>
    </row>
    <row r="624">
      <c r="A624" s="23"/>
      <c r="B624" s="43"/>
      <c r="C624" s="43"/>
    </row>
    <row r="625">
      <c r="A625" s="23"/>
      <c r="B625" s="43"/>
      <c r="C625" s="43"/>
    </row>
    <row r="626">
      <c r="A626" s="23"/>
      <c r="B626" s="43"/>
      <c r="C626" s="43"/>
    </row>
    <row r="627">
      <c r="A627" s="23"/>
      <c r="B627" s="43"/>
      <c r="C627" s="43"/>
    </row>
    <row r="628">
      <c r="A628" s="23"/>
      <c r="B628" s="43"/>
      <c r="C628" s="43"/>
    </row>
    <row r="629">
      <c r="A629" s="23"/>
      <c r="B629" s="43"/>
      <c r="C629" s="43"/>
    </row>
    <row r="630">
      <c r="A630" s="23"/>
      <c r="B630" s="43"/>
      <c r="C630" s="43"/>
    </row>
    <row r="631">
      <c r="A631" s="23"/>
      <c r="B631" s="43"/>
      <c r="C631" s="43"/>
    </row>
    <row r="632">
      <c r="A632" s="23"/>
      <c r="B632" s="43"/>
      <c r="C632" s="43"/>
    </row>
    <row r="633">
      <c r="A633" s="23"/>
      <c r="B633" s="43"/>
      <c r="C633" s="43"/>
    </row>
    <row r="634">
      <c r="A634" s="23"/>
      <c r="B634" s="43"/>
      <c r="C634" s="43"/>
    </row>
    <row r="635">
      <c r="A635" s="23"/>
      <c r="B635" s="43"/>
      <c r="C635" s="43"/>
    </row>
    <row r="636">
      <c r="A636" s="23"/>
      <c r="B636" s="43"/>
      <c r="C636" s="43"/>
    </row>
    <row r="637">
      <c r="A637" s="23"/>
      <c r="B637" s="43"/>
      <c r="C637" s="43"/>
    </row>
    <row r="638">
      <c r="A638" s="23"/>
      <c r="B638" s="43"/>
      <c r="C638" s="43"/>
    </row>
    <row r="639">
      <c r="A639" s="23"/>
      <c r="B639" s="43"/>
      <c r="C639" s="43"/>
    </row>
    <row r="640">
      <c r="A640" s="23"/>
      <c r="B640" s="43"/>
      <c r="C640" s="43"/>
    </row>
    <row r="641">
      <c r="A641" s="23"/>
      <c r="B641" s="43"/>
      <c r="C641" s="43"/>
    </row>
    <row r="642">
      <c r="A642" s="23"/>
      <c r="B642" s="43"/>
      <c r="C642" s="43"/>
    </row>
    <row r="643">
      <c r="A643" s="23"/>
      <c r="B643" s="43"/>
      <c r="C643" s="43"/>
    </row>
    <row r="644">
      <c r="A644" s="23"/>
      <c r="B644" s="43"/>
      <c r="C644" s="43"/>
    </row>
    <row r="645">
      <c r="A645" s="23"/>
      <c r="B645" s="43"/>
      <c r="C645" s="43"/>
    </row>
    <row r="646">
      <c r="A646" s="23"/>
      <c r="B646" s="43"/>
      <c r="C646" s="43"/>
    </row>
    <row r="647">
      <c r="A647" s="23"/>
      <c r="B647" s="43"/>
      <c r="C647" s="43"/>
    </row>
    <row r="648">
      <c r="A648" s="23"/>
      <c r="B648" s="43"/>
      <c r="C648" s="43"/>
    </row>
    <row r="649">
      <c r="A649" s="23"/>
      <c r="B649" s="43"/>
      <c r="C649" s="43"/>
    </row>
    <row r="650">
      <c r="A650" s="23"/>
      <c r="B650" s="43"/>
      <c r="C650" s="43"/>
    </row>
    <row r="651">
      <c r="A651" s="23"/>
      <c r="B651" s="43"/>
      <c r="C651" s="43"/>
    </row>
    <row r="652">
      <c r="A652" s="23"/>
      <c r="B652" s="43"/>
      <c r="C652" s="43"/>
    </row>
    <row r="653">
      <c r="A653" s="23"/>
      <c r="B653" s="43"/>
      <c r="C653" s="43"/>
    </row>
    <row r="654">
      <c r="A654" s="23"/>
      <c r="B654" s="43"/>
      <c r="C654" s="43"/>
    </row>
    <row r="655">
      <c r="A655" s="23"/>
      <c r="B655" s="43"/>
      <c r="C655" s="43"/>
    </row>
    <row r="656">
      <c r="A656" s="23"/>
      <c r="B656" s="43"/>
      <c r="C656" s="43"/>
    </row>
    <row r="657">
      <c r="A657" s="23"/>
      <c r="B657" s="43"/>
      <c r="C657" s="43"/>
    </row>
    <row r="658">
      <c r="A658" s="23"/>
      <c r="B658" s="43"/>
      <c r="C658" s="43"/>
    </row>
    <row r="659">
      <c r="A659" s="23"/>
      <c r="B659" s="43"/>
      <c r="C659" s="43"/>
    </row>
    <row r="660">
      <c r="A660" s="23"/>
      <c r="B660" s="43"/>
      <c r="C660" s="43"/>
    </row>
    <row r="661">
      <c r="A661" s="23"/>
      <c r="B661" s="43"/>
      <c r="C661" s="43"/>
    </row>
    <row r="662">
      <c r="A662" s="23"/>
      <c r="B662" s="43"/>
      <c r="C662" s="43"/>
    </row>
    <row r="663">
      <c r="A663" s="23"/>
      <c r="B663" s="43"/>
      <c r="C663" s="43"/>
    </row>
    <row r="664">
      <c r="A664" s="23"/>
      <c r="B664" s="43"/>
      <c r="C664" s="43"/>
    </row>
    <row r="665">
      <c r="A665" s="23"/>
      <c r="B665" s="43"/>
      <c r="C665" s="43"/>
    </row>
    <row r="666">
      <c r="A666" s="23"/>
      <c r="B666" s="43"/>
      <c r="C666" s="43"/>
    </row>
    <row r="667">
      <c r="A667" s="23"/>
      <c r="B667" s="43"/>
      <c r="C667" s="43"/>
    </row>
    <row r="668">
      <c r="A668" s="23"/>
      <c r="B668" s="43"/>
      <c r="C668" s="43"/>
    </row>
    <row r="669">
      <c r="A669" s="23"/>
      <c r="B669" s="43"/>
      <c r="C669" s="43"/>
    </row>
    <row r="670">
      <c r="A670" s="23"/>
      <c r="B670" s="43"/>
      <c r="C670" s="43"/>
    </row>
    <row r="671">
      <c r="A671" s="23"/>
      <c r="B671" s="43"/>
      <c r="C671" s="43"/>
    </row>
    <row r="672">
      <c r="A672" s="23"/>
      <c r="B672" s="43"/>
      <c r="C672" s="43"/>
    </row>
    <row r="673">
      <c r="A673" s="23"/>
      <c r="B673" s="43"/>
      <c r="C673" s="43"/>
    </row>
    <row r="674">
      <c r="A674" s="23"/>
      <c r="B674" s="43"/>
      <c r="C674" s="43"/>
    </row>
    <row r="675">
      <c r="A675" s="23"/>
      <c r="B675" s="43"/>
      <c r="C675" s="43"/>
    </row>
    <row r="676">
      <c r="A676" s="23"/>
      <c r="B676" s="43"/>
      <c r="C676" s="43"/>
    </row>
    <row r="677">
      <c r="A677" s="23"/>
      <c r="B677" s="43"/>
      <c r="C677" s="43"/>
    </row>
    <row r="678">
      <c r="A678" s="23"/>
      <c r="B678" s="43"/>
      <c r="C678" s="43"/>
    </row>
    <row r="679">
      <c r="A679" s="23"/>
      <c r="B679" s="43"/>
      <c r="C679" s="43"/>
    </row>
    <row r="680">
      <c r="A680" s="23"/>
      <c r="B680" s="43"/>
      <c r="C680" s="43"/>
    </row>
    <row r="681">
      <c r="A681" s="23"/>
      <c r="B681" s="43"/>
      <c r="C681" s="43"/>
    </row>
    <row r="682">
      <c r="A682" s="23"/>
      <c r="B682" s="43"/>
      <c r="C682" s="43"/>
    </row>
    <row r="683">
      <c r="A683" s="23"/>
      <c r="B683" s="43"/>
      <c r="C683" s="43"/>
    </row>
    <row r="684">
      <c r="A684" s="23"/>
      <c r="B684" s="43"/>
      <c r="C684" s="43"/>
    </row>
    <row r="685">
      <c r="A685" s="23"/>
      <c r="B685" s="43"/>
      <c r="C685" s="43"/>
    </row>
    <row r="686">
      <c r="A686" s="23"/>
      <c r="B686" s="43"/>
      <c r="C686" s="43"/>
    </row>
    <row r="687">
      <c r="A687" s="23"/>
      <c r="B687" s="43"/>
      <c r="C687" s="43"/>
    </row>
    <row r="688">
      <c r="A688" s="23"/>
      <c r="B688" s="43"/>
      <c r="C688" s="43"/>
    </row>
    <row r="689">
      <c r="A689" s="23"/>
      <c r="B689" s="43"/>
      <c r="C689" s="43"/>
    </row>
    <row r="690">
      <c r="A690" s="23"/>
      <c r="B690" s="43"/>
      <c r="C690" s="43"/>
    </row>
    <row r="691">
      <c r="A691" s="23"/>
      <c r="B691" s="43"/>
      <c r="C691" s="43"/>
    </row>
    <row r="692">
      <c r="A692" s="23"/>
      <c r="B692" s="43"/>
      <c r="C692" s="43"/>
    </row>
    <row r="693">
      <c r="A693" s="23"/>
      <c r="B693" s="43"/>
      <c r="C693" s="43"/>
    </row>
    <row r="694">
      <c r="A694" s="23"/>
      <c r="B694" s="43"/>
      <c r="C694" s="43"/>
    </row>
    <row r="695">
      <c r="A695" s="23"/>
      <c r="B695" s="43"/>
      <c r="C695" s="43"/>
    </row>
    <row r="696">
      <c r="A696" s="23"/>
      <c r="B696" s="43"/>
      <c r="C696" s="43"/>
    </row>
    <row r="697">
      <c r="A697" s="23"/>
      <c r="B697" s="43"/>
      <c r="C697" s="43"/>
    </row>
    <row r="698">
      <c r="A698" s="23"/>
      <c r="B698" s="43"/>
      <c r="C698" s="43"/>
    </row>
    <row r="699">
      <c r="A699" s="23"/>
      <c r="B699" s="43"/>
      <c r="C699" s="43"/>
    </row>
    <row r="700">
      <c r="A700" s="23"/>
      <c r="B700" s="43"/>
      <c r="C700" s="43"/>
    </row>
    <row r="701">
      <c r="A701" s="23"/>
      <c r="B701" s="43"/>
      <c r="C701" s="43"/>
    </row>
    <row r="702">
      <c r="A702" s="23"/>
      <c r="B702" s="43"/>
      <c r="C702" s="43"/>
    </row>
    <row r="703">
      <c r="A703" s="23"/>
      <c r="B703" s="43"/>
      <c r="C703" s="43"/>
    </row>
    <row r="704">
      <c r="A704" s="23"/>
      <c r="B704" s="43"/>
      <c r="C704" s="43"/>
    </row>
    <row r="705">
      <c r="A705" s="23"/>
      <c r="B705" s="43"/>
      <c r="C705" s="43"/>
    </row>
    <row r="706">
      <c r="A706" s="23"/>
      <c r="B706" s="43"/>
      <c r="C706" s="43"/>
    </row>
    <row r="707">
      <c r="A707" s="23"/>
      <c r="B707" s="43"/>
      <c r="C707" s="43"/>
    </row>
    <row r="708">
      <c r="A708" s="23"/>
      <c r="B708" s="43"/>
      <c r="C708" s="43"/>
    </row>
    <row r="709">
      <c r="A709" s="23"/>
      <c r="B709" s="43"/>
      <c r="C709" s="43"/>
    </row>
    <row r="710">
      <c r="A710" s="23"/>
      <c r="B710" s="43"/>
      <c r="C710" s="43"/>
    </row>
    <row r="711">
      <c r="A711" s="23"/>
      <c r="B711" s="43"/>
      <c r="C711" s="43"/>
    </row>
    <row r="712">
      <c r="A712" s="23"/>
      <c r="B712" s="43"/>
      <c r="C712" s="43"/>
    </row>
    <row r="713">
      <c r="A713" s="23"/>
      <c r="B713" s="43"/>
      <c r="C713" s="43"/>
    </row>
    <row r="714">
      <c r="A714" s="23"/>
      <c r="B714" s="43"/>
      <c r="C714" s="43"/>
    </row>
    <row r="715">
      <c r="A715" s="23"/>
      <c r="B715" s="43"/>
      <c r="C715" s="43"/>
    </row>
    <row r="716">
      <c r="A716" s="23"/>
      <c r="B716" s="43"/>
      <c r="C716" s="43"/>
    </row>
    <row r="717">
      <c r="A717" s="23"/>
      <c r="B717" s="43"/>
      <c r="C717" s="43"/>
    </row>
    <row r="718">
      <c r="A718" s="23"/>
      <c r="B718" s="43"/>
      <c r="C718" s="43"/>
    </row>
    <row r="719">
      <c r="A719" s="23"/>
      <c r="B719" s="43"/>
      <c r="C719" s="43"/>
    </row>
    <row r="720">
      <c r="A720" s="23"/>
      <c r="B720" s="43"/>
      <c r="C720" s="43"/>
    </row>
    <row r="721">
      <c r="A721" s="23"/>
      <c r="B721" s="43"/>
      <c r="C721" s="43"/>
    </row>
    <row r="722">
      <c r="A722" s="23"/>
      <c r="B722" s="43"/>
      <c r="C722" s="43"/>
    </row>
    <row r="723">
      <c r="A723" s="23"/>
      <c r="B723" s="43"/>
      <c r="C723" s="43"/>
    </row>
    <row r="724">
      <c r="A724" s="23"/>
      <c r="B724" s="43"/>
      <c r="C724" s="43"/>
    </row>
    <row r="725">
      <c r="A725" s="23"/>
      <c r="B725" s="43"/>
      <c r="C725" s="43"/>
    </row>
    <row r="726">
      <c r="A726" s="23"/>
      <c r="B726" s="43"/>
      <c r="C726" s="43"/>
    </row>
    <row r="727">
      <c r="A727" s="23"/>
      <c r="B727" s="43"/>
      <c r="C727" s="43"/>
    </row>
    <row r="728">
      <c r="A728" s="23"/>
      <c r="B728" s="43"/>
      <c r="C728" s="43"/>
    </row>
    <row r="729">
      <c r="A729" s="23"/>
      <c r="B729" s="43"/>
      <c r="C729" s="43"/>
    </row>
    <row r="730">
      <c r="A730" s="23"/>
      <c r="B730" s="43"/>
      <c r="C730" s="43"/>
    </row>
    <row r="731">
      <c r="A731" s="23"/>
      <c r="B731" s="43"/>
      <c r="C731" s="43"/>
    </row>
    <row r="732">
      <c r="A732" s="23"/>
      <c r="B732" s="43"/>
      <c r="C732" s="43"/>
    </row>
    <row r="733">
      <c r="A733" s="23"/>
      <c r="B733" s="43"/>
      <c r="C733" s="43"/>
    </row>
    <row r="734">
      <c r="A734" s="23"/>
      <c r="B734" s="43"/>
      <c r="C734" s="43"/>
    </row>
    <row r="735">
      <c r="A735" s="23"/>
      <c r="B735" s="43"/>
      <c r="C735" s="43"/>
    </row>
    <row r="736">
      <c r="A736" s="23"/>
      <c r="B736" s="43"/>
      <c r="C736" s="43"/>
    </row>
    <row r="737">
      <c r="A737" s="23"/>
      <c r="B737" s="43"/>
      <c r="C737" s="43"/>
    </row>
    <row r="738">
      <c r="A738" s="23"/>
      <c r="B738" s="43"/>
      <c r="C738" s="43"/>
    </row>
    <row r="739">
      <c r="A739" s="23"/>
      <c r="B739" s="43"/>
      <c r="C739" s="43"/>
    </row>
    <row r="740">
      <c r="A740" s="23"/>
      <c r="B740" s="43"/>
      <c r="C740" s="43"/>
    </row>
    <row r="741">
      <c r="A741" s="23"/>
      <c r="B741" s="43"/>
      <c r="C741" s="43"/>
    </row>
    <row r="742">
      <c r="A742" s="23"/>
      <c r="B742" s="43"/>
      <c r="C742" s="43"/>
    </row>
    <row r="743">
      <c r="A743" s="23"/>
      <c r="B743" s="43"/>
      <c r="C743" s="43"/>
    </row>
    <row r="744">
      <c r="A744" s="23"/>
      <c r="B744" s="43"/>
      <c r="C744" s="43"/>
    </row>
    <row r="745">
      <c r="A745" s="23"/>
      <c r="B745" s="43"/>
      <c r="C745" s="43"/>
    </row>
    <row r="746">
      <c r="A746" s="23"/>
      <c r="B746" s="43"/>
      <c r="C746" s="43"/>
    </row>
    <row r="747">
      <c r="A747" s="23"/>
      <c r="B747" s="43"/>
      <c r="C747" s="43"/>
    </row>
    <row r="748">
      <c r="A748" s="23"/>
      <c r="B748" s="43"/>
      <c r="C748" s="43"/>
    </row>
    <row r="749">
      <c r="A749" s="23"/>
      <c r="B749" s="43"/>
      <c r="C749" s="43"/>
    </row>
    <row r="750">
      <c r="A750" s="23"/>
      <c r="B750" s="43"/>
      <c r="C750" s="43"/>
    </row>
    <row r="751">
      <c r="A751" s="23"/>
      <c r="B751" s="43"/>
      <c r="C751" s="43"/>
    </row>
    <row r="752">
      <c r="A752" s="23"/>
      <c r="B752" s="43"/>
      <c r="C752" s="43"/>
    </row>
    <row r="753">
      <c r="A753" s="23"/>
      <c r="B753" s="43"/>
      <c r="C753" s="43"/>
    </row>
    <row r="754">
      <c r="A754" s="23"/>
      <c r="B754" s="43"/>
      <c r="C754" s="43"/>
    </row>
    <row r="755">
      <c r="A755" s="23"/>
      <c r="B755" s="43"/>
      <c r="C755" s="43"/>
    </row>
    <row r="756">
      <c r="A756" s="23"/>
      <c r="B756" s="43"/>
      <c r="C756" s="43"/>
    </row>
    <row r="757">
      <c r="A757" s="23"/>
      <c r="B757" s="43"/>
      <c r="C757" s="43"/>
    </row>
    <row r="758">
      <c r="A758" s="23"/>
      <c r="B758" s="43"/>
      <c r="C758" s="43"/>
    </row>
    <row r="759">
      <c r="A759" s="23"/>
      <c r="B759" s="43"/>
      <c r="C759" s="43"/>
    </row>
    <row r="760">
      <c r="A760" s="23"/>
      <c r="B760" s="43"/>
      <c r="C760" s="43"/>
    </row>
    <row r="761">
      <c r="A761" s="23"/>
      <c r="B761" s="43"/>
      <c r="C761" s="43"/>
    </row>
    <row r="762">
      <c r="A762" s="23"/>
      <c r="B762" s="43"/>
      <c r="C762" s="43"/>
    </row>
    <row r="763">
      <c r="A763" s="23"/>
      <c r="B763" s="43"/>
      <c r="C763" s="43"/>
    </row>
    <row r="764">
      <c r="A764" s="23"/>
      <c r="B764" s="43"/>
      <c r="C764" s="43"/>
    </row>
    <row r="765">
      <c r="A765" s="23"/>
      <c r="B765" s="43"/>
      <c r="C765" s="43"/>
    </row>
    <row r="766">
      <c r="A766" s="23"/>
      <c r="B766" s="43"/>
      <c r="C766" s="43"/>
    </row>
    <row r="767">
      <c r="A767" s="23"/>
      <c r="B767" s="43"/>
      <c r="C767" s="43"/>
    </row>
    <row r="768">
      <c r="A768" s="23"/>
      <c r="B768" s="43"/>
      <c r="C768" s="43"/>
    </row>
    <row r="769">
      <c r="A769" s="23"/>
      <c r="B769" s="43"/>
      <c r="C769" s="43"/>
    </row>
    <row r="770">
      <c r="A770" s="23"/>
      <c r="B770" s="43"/>
      <c r="C770" s="43"/>
    </row>
    <row r="771">
      <c r="A771" s="23"/>
      <c r="B771" s="43"/>
      <c r="C771" s="43"/>
    </row>
    <row r="772">
      <c r="A772" s="23"/>
      <c r="B772" s="43"/>
      <c r="C772" s="43"/>
    </row>
    <row r="773">
      <c r="A773" s="23"/>
      <c r="B773" s="43"/>
      <c r="C773" s="43"/>
    </row>
    <row r="774">
      <c r="A774" s="23"/>
      <c r="B774" s="43"/>
      <c r="C774" s="43"/>
    </row>
    <row r="775">
      <c r="A775" s="23"/>
      <c r="B775" s="43"/>
      <c r="C775" s="43"/>
    </row>
    <row r="776">
      <c r="A776" s="23"/>
      <c r="B776" s="43"/>
      <c r="C776" s="43"/>
    </row>
    <row r="777">
      <c r="A777" s="23"/>
      <c r="B777" s="43"/>
      <c r="C777" s="43"/>
    </row>
    <row r="778">
      <c r="A778" s="23"/>
      <c r="B778" s="43"/>
      <c r="C778" s="43"/>
    </row>
    <row r="779">
      <c r="A779" s="23"/>
      <c r="B779" s="43"/>
      <c r="C779" s="43"/>
    </row>
    <row r="780">
      <c r="A780" s="23"/>
      <c r="B780" s="43"/>
      <c r="C780" s="43"/>
    </row>
    <row r="781">
      <c r="A781" s="23"/>
      <c r="B781" s="43"/>
      <c r="C781" s="43"/>
    </row>
    <row r="782">
      <c r="A782" s="23"/>
      <c r="B782" s="43"/>
      <c r="C782" s="43"/>
    </row>
    <row r="783">
      <c r="A783" s="23"/>
      <c r="B783" s="43"/>
      <c r="C783" s="43"/>
    </row>
    <row r="784">
      <c r="A784" s="23"/>
      <c r="B784" s="43"/>
      <c r="C784" s="43"/>
    </row>
    <row r="785">
      <c r="A785" s="23"/>
      <c r="B785" s="43"/>
      <c r="C785" s="43"/>
    </row>
    <row r="786">
      <c r="A786" s="23"/>
      <c r="B786" s="43"/>
      <c r="C786" s="43"/>
    </row>
    <row r="787">
      <c r="A787" s="23"/>
      <c r="B787" s="43"/>
      <c r="C787" s="43"/>
    </row>
    <row r="788">
      <c r="A788" s="23"/>
      <c r="B788" s="43"/>
      <c r="C788" s="43"/>
    </row>
    <row r="789">
      <c r="A789" s="23"/>
      <c r="B789" s="43"/>
      <c r="C789" s="43"/>
    </row>
    <row r="790">
      <c r="A790" s="23"/>
      <c r="B790" s="43"/>
      <c r="C790" s="43"/>
    </row>
    <row r="791">
      <c r="A791" s="23"/>
      <c r="B791" s="43"/>
      <c r="C791" s="43"/>
    </row>
    <row r="792">
      <c r="A792" s="23"/>
      <c r="B792" s="43"/>
      <c r="C792" s="43"/>
    </row>
    <row r="793">
      <c r="A793" s="23"/>
      <c r="B793" s="43"/>
      <c r="C793" s="43"/>
    </row>
    <row r="794">
      <c r="A794" s="23"/>
      <c r="B794" s="43"/>
      <c r="C794" s="43"/>
    </row>
    <row r="795">
      <c r="A795" s="23"/>
      <c r="B795" s="43"/>
      <c r="C795" s="43"/>
    </row>
    <row r="796">
      <c r="A796" s="23"/>
      <c r="B796" s="43"/>
      <c r="C796" s="43"/>
    </row>
    <row r="797">
      <c r="A797" s="23"/>
      <c r="B797" s="43"/>
      <c r="C797" s="43"/>
    </row>
    <row r="798">
      <c r="A798" s="23"/>
      <c r="B798" s="43"/>
      <c r="C798" s="43"/>
    </row>
    <row r="799">
      <c r="A799" s="23"/>
      <c r="B799" s="43"/>
      <c r="C799" s="43"/>
    </row>
    <row r="800">
      <c r="A800" s="23"/>
      <c r="B800" s="43"/>
      <c r="C800" s="43"/>
    </row>
    <row r="801">
      <c r="A801" s="23"/>
      <c r="B801" s="43"/>
      <c r="C801" s="43"/>
    </row>
    <row r="802">
      <c r="A802" s="23"/>
      <c r="B802" s="43"/>
      <c r="C802" s="43"/>
    </row>
    <row r="803">
      <c r="A803" s="23"/>
      <c r="B803" s="43"/>
      <c r="C803" s="43"/>
    </row>
    <row r="804">
      <c r="A804" s="23"/>
      <c r="B804" s="43"/>
      <c r="C804" s="43"/>
    </row>
    <row r="805">
      <c r="A805" s="23"/>
      <c r="B805" s="43"/>
      <c r="C805" s="43"/>
    </row>
    <row r="806">
      <c r="A806" s="23"/>
      <c r="B806" s="43"/>
      <c r="C806" s="43"/>
    </row>
    <row r="807">
      <c r="A807" s="23"/>
      <c r="B807" s="43"/>
      <c r="C807" s="43"/>
    </row>
    <row r="808">
      <c r="A808" s="23"/>
      <c r="B808" s="43"/>
      <c r="C808" s="43"/>
    </row>
    <row r="809">
      <c r="A809" s="23"/>
      <c r="B809" s="43"/>
      <c r="C809" s="43"/>
    </row>
    <row r="810">
      <c r="A810" s="23"/>
      <c r="B810" s="43"/>
      <c r="C810" s="43"/>
    </row>
    <row r="811">
      <c r="A811" s="23"/>
      <c r="B811" s="43"/>
      <c r="C811" s="43"/>
    </row>
    <row r="812">
      <c r="A812" s="23"/>
      <c r="B812" s="43"/>
      <c r="C812" s="43"/>
    </row>
    <row r="813">
      <c r="A813" s="23"/>
      <c r="B813" s="43"/>
      <c r="C813" s="43"/>
    </row>
    <row r="814">
      <c r="A814" s="23"/>
      <c r="B814" s="43"/>
      <c r="C814" s="43"/>
    </row>
    <row r="815">
      <c r="A815" s="23"/>
      <c r="B815" s="43"/>
      <c r="C815" s="43"/>
    </row>
    <row r="816">
      <c r="A816" s="23"/>
      <c r="B816" s="43"/>
      <c r="C816" s="43"/>
    </row>
    <row r="817">
      <c r="A817" s="23"/>
      <c r="B817" s="43"/>
      <c r="C817" s="43"/>
    </row>
    <row r="818">
      <c r="A818" s="23"/>
      <c r="B818" s="43"/>
      <c r="C818" s="43"/>
    </row>
    <row r="819">
      <c r="A819" s="23"/>
      <c r="B819" s="43"/>
      <c r="C819" s="43"/>
    </row>
    <row r="820">
      <c r="A820" s="23"/>
      <c r="B820" s="43"/>
      <c r="C820" s="43"/>
    </row>
    <row r="821">
      <c r="A821" s="23"/>
      <c r="B821" s="43"/>
      <c r="C821" s="43"/>
    </row>
    <row r="822">
      <c r="A822" s="23"/>
      <c r="B822" s="43"/>
      <c r="C822" s="43"/>
    </row>
    <row r="823">
      <c r="A823" s="23"/>
      <c r="B823" s="43"/>
      <c r="C823" s="43"/>
    </row>
    <row r="824">
      <c r="A824" s="23"/>
      <c r="B824" s="43"/>
      <c r="C824" s="43"/>
    </row>
    <row r="825">
      <c r="A825" s="23"/>
      <c r="B825" s="43"/>
      <c r="C825" s="43"/>
    </row>
    <row r="826">
      <c r="A826" s="23"/>
      <c r="B826" s="43"/>
      <c r="C826" s="43"/>
    </row>
    <row r="827">
      <c r="A827" s="23"/>
      <c r="B827" s="43"/>
      <c r="C827" s="43"/>
    </row>
    <row r="828">
      <c r="A828" s="23"/>
      <c r="B828" s="43"/>
      <c r="C828" s="43"/>
    </row>
    <row r="829">
      <c r="A829" s="23"/>
      <c r="B829" s="43"/>
      <c r="C829" s="43"/>
    </row>
    <row r="830">
      <c r="A830" s="23"/>
      <c r="B830" s="43"/>
      <c r="C830" s="43"/>
    </row>
    <row r="831">
      <c r="A831" s="23"/>
      <c r="B831" s="43"/>
      <c r="C831" s="43"/>
    </row>
    <row r="832">
      <c r="A832" s="23"/>
      <c r="B832" s="43"/>
      <c r="C832" s="43"/>
    </row>
    <row r="833">
      <c r="A833" s="23"/>
      <c r="B833" s="43"/>
      <c r="C833" s="43"/>
    </row>
    <row r="834">
      <c r="A834" s="23"/>
      <c r="B834" s="43"/>
      <c r="C834" s="43"/>
    </row>
    <row r="835">
      <c r="A835" s="23"/>
      <c r="B835" s="43"/>
      <c r="C835" s="43"/>
    </row>
    <row r="836">
      <c r="A836" s="23"/>
      <c r="B836" s="43"/>
      <c r="C836" s="43"/>
    </row>
    <row r="837">
      <c r="A837" s="23"/>
      <c r="B837" s="43"/>
      <c r="C837" s="43"/>
    </row>
    <row r="838">
      <c r="A838" s="23"/>
      <c r="B838" s="43"/>
      <c r="C838" s="43"/>
    </row>
    <row r="839">
      <c r="A839" s="23"/>
      <c r="B839" s="43"/>
      <c r="C839" s="43"/>
    </row>
    <row r="840">
      <c r="A840" s="23"/>
      <c r="B840" s="43"/>
      <c r="C840" s="43"/>
    </row>
    <row r="841">
      <c r="A841" s="23"/>
      <c r="B841" s="43"/>
      <c r="C841" s="43"/>
    </row>
    <row r="842">
      <c r="A842" s="23"/>
      <c r="B842" s="43"/>
      <c r="C842" s="43"/>
    </row>
    <row r="843">
      <c r="A843" s="23"/>
      <c r="B843" s="43"/>
      <c r="C843" s="43"/>
    </row>
    <row r="844">
      <c r="A844" s="23"/>
      <c r="B844" s="43"/>
      <c r="C844" s="43"/>
    </row>
    <row r="845">
      <c r="A845" s="23"/>
      <c r="B845" s="43"/>
      <c r="C845" s="43"/>
    </row>
    <row r="846">
      <c r="A846" s="23"/>
      <c r="B846" s="43"/>
      <c r="C846" s="43"/>
    </row>
    <row r="847">
      <c r="A847" s="23"/>
      <c r="B847" s="43"/>
      <c r="C847" s="43"/>
    </row>
    <row r="848">
      <c r="A848" s="23"/>
      <c r="B848" s="43"/>
      <c r="C848" s="43"/>
    </row>
    <row r="849">
      <c r="A849" s="23"/>
      <c r="B849" s="43"/>
      <c r="C849" s="43"/>
    </row>
    <row r="850">
      <c r="A850" s="23"/>
      <c r="B850" s="43"/>
      <c r="C850" s="43"/>
    </row>
    <row r="851">
      <c r="A851" s="23"/>
      <c r="B851" s="43"/>
      <c r="C851" s="43"/>
    </row>
    <row r="852">
      <c r="A852" s="23"/>
      <c r="B852" s="43"/>
      <c r="C852" s="43"/>
    </row>
    <row r="853">
      <c r="A853" s="23"/>
      <c r="B853" s="43"/>
      <c r="C853" s="43"/>
    </row>
    <row r="854">
      <c r="A854" s="23"/>
      <c r="B854" s="43"/>
      <c r="C854" s="43"/>
    </row>
    <row r="855">
      <c r="A855" s="23"/>
      <c r="B855" s="43"/>
      <c r="C855" s="43"/>
    </row>
    <row r="856">
      <c r="A856" s="23"/>
      <c r="B856" s="43"/>
      <c r="C856" s="43"/>
    </row>
    <row r="857">
      <c r="A857" s="23"/>
      <c r="B857" s="43"/>
      <c r="C857" s="43"/>
    </row>
    <row r="858">
      <c r="A858" s="23"/>
      <c r="B858" s="43"/>
      <c r="C858" s="43"/>
    </row>
    <row r="859">
      <c r="A859" s="23"/>
      <c r="B859" s="43"/>
      <c r="C859" s="43"/>
    </row>
    <row r="860">
      <c r="A860" s="23"/>
      <c r="B860" s="43"/>
      <c r="C860" s="43"/>
    </row>
    <row r="861">
      <c r="A861" s="23"/>
      <c r="B861" s="43"/>
      <c r="C861" s="43"/>
    </row>
    <row r="862">
      <c r="A862" s="23"/>
      <c r="B862" s="43"/>
      <c r="C862" s="43"/>
    </row>
    <row r="863">
      <c r="A863" s="23"/>
      <c r="B863" s="43"/>
      <c r="C863" s="43"/>
    </row>
    <row r="864">
      <c r="A864" s="23"/>
      <c r="B864" s="43"/>
      <c r="C864" s="43"/>
    </row>
    <row r="865">
      <c r="A865" s="23"/>
      <c r="B865" s="43"/>
      <c r="C865" s="43"/>
    </row>
    <row r="866">
      <c r="A866" s="23"/>
      <c r="B866" s="43"/>
      <c r="C866" s="43"/>
    </row>
    <row r="867">
      <c r="A867" s="23"/>
      <c r="B867" s="43"/>
      <c r="C867" s="43"/>
    </row>
    <row r="868">
      <c r="A868" s="23"/>
      <c r="B868" s="43"/>
      <c r="C868" s="43"/>
    </row>
    <row r="869">
      <c r="A869" s="23"/>
      <c r="B869" s="43"/>
      <c r="C869" s="43"/>
    </row>
    <row r="870">
      <c r="A870" s="23"/>
      <c r="B870" s="43"/>
      <c r="C870" s="43"/>
    </row>
    <row r="871">
      <c r="A871" s="23"/>
      <c r="B871" s="43"/>
      <c r="C871" s="43"/>
    </row>
    <row r="872">
      <c r="A872" s="23"/>
      <c r="B872" s="43"/>
      <c r="C872" s="43"/>
    </row>
    <row r="873">
      <c r="A873" s="23"/>
      <c r="B873" s="43"/>
      <c r="C873" s="43"/>
    </row>
    <row r="874">
      <c r="A874" s="23"/>
      <c r="B874" s="43"/>
      <c r="C874" s="43"/>
    </row>
    <row r="875">
      <c r="A875" s="23"/>
      <c r="B875" s="43"/>
      <c r="C875" s="43"/>
    </row>
    <row r="876">
      <c r="A876" s="23"/>
      <c r="B876" s="43"/>
      <c r="C876" s="43"/>
    </row>
    <row r="877">
      <c r="A877" s="23"/>
      <c r="B877" s="43"/>
      <c r="C877" s="43"/>
    </row>
    <row r="878">
      <c r="A878" s="23"/>
      <c r="B878" s="43"/>
      <c r="C878" s="43"/>
    </row>
    <row r="879">
      <c r="A879" s="23"/>
      <c r="B879" s="43"/>
      <c r="C879" s="43"/>
    </row>
    <row r="880">
      <c r="A880" s="23"/>
      <c r="B880" s="43"/>
      <c r="C880" s="43"/>
    </row>
    <row r="881">
      <c r="A881" s="23"/>
      <c r="B881" s="43"/>
      <c r="C881" s="43"/>
    </row>
    <row r="882">
      <c r="A882" s="23"/>
      <c r="B882" s="43"/>
      <c r="C882" s="43"/>
    </row>
    <row r="883">
      <c r="A883" s="23"/>
      <c r="B883" s="43"/>
      <c r="C883" s="43"/>
    </row>
    <row r="884">
      <c r="A884" s="23"/>
      <c r="B884" s="43"/>
      <c r="C884" s="43"/>
    </row>
    <row r="885">
      <c r="A885" s="23"/>
      <c r="B885" s="43"/>
      <c r="C885" s="43"/>
    </row>
    <row r="886">
      <c r="A886" s="23"/>
      <c r="B886" s="43"/>
      <c r="C886" s="43"/>
    </row>
    <row r="887">
      <c r="A887" s="23"/>
      <c r="B887" s="43"/>
      <c r="C887" s="43"/>
    </row>
    <row r="888">
      <c r="A888" s="23"/>
      <c r="B888" s="43"/>
      <c r="C888" s="43"/>
    </row>
    <row r="889">
      <c r="A889" s="23"/>
      <c r="B889" s="43"/>
      <c r="C889" s="43"/>
    </row>
    <row r="890">
      <c r="A890" s="23"/>
      <c r="B890" s="43"/>
      <c r="C890" s="43"/>
    </row>
    <row r="891">
      <c r="A891" s="23"/>
      <c r="B891" s="43"/>
      <c r="C891" s="43"/>
    </row>
    <row r="892">
      <c r="A892" s="23"/>
      <c r="B892" s="43"/>
      <c r="C892" s="43"/>
    </row>
    <row r="893">
      <c r="A893" s="23"/>
      <c r="B893" s="43"/>
      <c r="C893" s="43"/>
    </row>
    <row r="894">
      <c r="A894" s="23"/>
      <c r="B894" s="43"/>
      <c r="C894" s="43"/>
    </row>
    <row r="895">
      <c r="A895" s="23"/>
      <c r="B895" s="43"/>
      <c r="C895" s="43"/>
    </row>
    <row r="896">
      <c r="A896" s="23"/>
      <c r="B896" s="43"/>
      <c r="C896" s="43"/>
    </row>
    <row r="897">
      <c r="A897" s="23"/>
      <c r="B897" s="43"/>
      <c r="C897" s="43"/>
    </row>
    <row r="898">
      <c r="A898" s="23"/>
      <c r="B898" s="43"/>
      <c r="C898" s="43"/>
    </row>
    <row r="899">
      <c r="A899" s="23"/>
      <c r="B899" s="43"/>
      <c r="C899" s="43"/>
    </row>
    <row r="900">
      <c r="A900" s="23"/>
      <c r="B900" s="43"/>
      <c r="C900" s="43"/>
    </row>
    <row r="901">
      <c r="A901" s="23"/>
      <c r="B901" s="43"/>
      <c r="C901" s="43"/>
    </row>
    <row r="902">
      <c r="A902" s="23"/>
      <c r="B902" s="43"/>
      <c r="C902" s="43"/>
    </row>
    <row r="903">
      <c r="A903" s="23"/>
      <c r="B903" s="43"/>
      <c r="C903" s="43"/>
    </row>
    <row r="904">
      <c r="A904" s="23"/>
      <c r="B904" s="43"/>
      <c r="C904" s="43"/>
    </row>
    <row r="905">
      <c r="A905" s="23"/>
      <c r="B905" s="43"/>
      <c r="C905" s="43"/>
    </row>
    <row r="906">
      <c r="A906" s="23"/>
      <c r="B906" s="43"/>
      <c r="C906" s="43"/>
    </row>
    <row r="907">
      <c r="A907" s="23"/>
      <c r="B907" s="43"/>
      <c r="C907" s="43"/>
    </row>
    <row r="908">
      <c r="A908" s="23"/>
      <c r="B908" s="43"/>
      <c r="C908" s="43"/>
    </row>
    <row r="909">
      <c r="A909" s="23"/>
      <c r="B909" s="43"/>
      <c r="C909" s="43"/>
    </row>
    <row r="910">
      <c r="A910" s="23"/>
      <c r="B910" s="43"/>
      <c r="C910" s="43"/>
    </row>
    <row r="911">
      <c r="A911" s="23"/>
      <c r="B911" s="43"/>
      <c r="C911" s="43"/>
    </row>
    <row r="912">
      <c r="A912" s="23"/>
      <c r="B912" s="43"/>
      <c r="C912" s="43"/>
    </row>
    <row r="913">
      <c r="A913" s="23"/>
      <c r="B913" s="43"/>
      <c r="C913" s="43"/>
    </row>
    <row r="914">
      <c r="A914" s="23"/>
      <c r="B914" s="43"/>
      <c r="C914" s="43"/>
    </row>
    <row r="915">
      <c r="A915" s="23"/>
      <c r="B915" s="43"/>
      <c r="C915" s="43"/>
    </row>
    <row r="916">
      <c r="A916" s="23"/>
      <c r="B916" s="43"/>
      <c r="C916" s="43"/>
    </row>
    <row r="917">
      <c r="A917" s="23"/>
      <c r="B917" s="43"/>
      <c r="C917" s="43"/>
    </row>
    <row r="918">
      <c r="A918" s="23"/>
      <c r="B918" s="43"/>
      <c r="C918" s="43"/>
    </row>
    <row r="919">
      <c r="A919" s="23"/>
      <c r="B919" s="43"/>
      <c r="C919" s="43"/>
    </row>
    <row r="920">
      <c r="A920" s="23"/>
      <c r="B920" s="43"/>
      <c r="C920" s="43"/>
    </row>
    <row r="921">
      <c r="A921" s="23"/>
      <c r="B921" s="43"/>
      <c r="C921" s="43"/>
    </row>
    <row r="922">
      <c r="A922" s="23"/>
      <c r="B922" s="43"/>
      <c r="C922" s="43"/>
    </row>
    <row r="923">
      <c r="A923" s="23"/>
      <c r="B923" s="43"/>
      <c r="C923" s="43"/>
    </row>
    <row r="924">
      <c r="A924" s="23"/>
      <c r="B924" s="43"/>
      <c r="C924" s="43"/>
    </row>
    <row r="925">
      <c r="A925" s="23"/>
      <c r="B925" s="43"/>
      <c r="C925" s="43"/>
    </row>
    <row r="926">
      <c r="A926" s="23"/>
      <c r="B926" s="43"/>
      <c r="C926" s="43"/>
    </row>
    <row r="927">
      <c r="A927" s="23"/>
      <c r="B927" s="43"/>
      <c r="C927" s="43"/>
    </row>
    <row r="928">
      <c r="A928" s="23"/>
      <c r="B928" s="43"/>
      <c r="C928" s="43"/>
    </row>
    <row r="929">
      <c r="A929" s="23"/>
      <c r="B929" s="43"/>
      <c r="C929" s="43"/>
    </row>
    <row r="930">
      <c r="A930" s="23"/>
      <c r="B930" s="43"/>
      <c r="C930" s="43"/>
    </row>
    <row r="931">
      <c r="A931" s="23"/>
      <c r="B931" s="43"/>
      <c r="C931" s="43"/>
    </row>
    <row r="932">
      <c r="A932" s="23"/>
      <c r="B932" s="43"/>
      <c r="C932" s="43"/>
    </row>
    <row r="933">
      <c r="A933" s="23"/>
      <c r="B933" s="43"/>
      <c r="C933" s="43"/>
    </row>
    <row r="934">
      <c r="A934" s="23"/>
      <c r="B934" s="43"/>
      <c r="C934" s="43"/>
    </row>
    <row r="935">
      <c r="A935" s="23"/>
      <c r="B935" s="43"/>
      <c r="C935" s="43"/>
    </row>
    <row r="936">
      <c r="A936" s="23"/>
      <c r="B936" s="43"/>
      <c r="C936" s="43"/>
    </row>
    <row r="937">
      <c r="A937" s="23"/>
      <c r="B937" s="43"/>
      <c r="C937" s="43"/>
    </row>
    <row r="938">
      <c r="A938" s="23"/>
      <c r="B938" s="43"/>
      <c r="C938" s="43"/>
    </row>
    <row r="939">
      <c r="A939" s="23"/>
      <c r="B939" s="43"/>
      <c r="C939" s="43"/>
    </row>
    <row r="940">
      <c r="A940" s="23"/>
      <c r="B940" s="43"/>
      <c r="C940" s="43"/>
    </row>
    <row r="941">
      <c r="A941" s="23"/>
      <c r="B941" s="43"/>
      <c r="C941" s="43"/>
    </row>
    <row r="942">
      <c r="A942" s="23"/>
      <c r="B942" s="43"/>
      <c r="C942" s="43"/>
    </row>
    <row r="943">
      <c r="A943" s="23"/>
      <c r="B943" s="43"/>
      <c r="C943" s="43"/>
    </row>
    <row r="944">
      <c r="A944" s="23"/>
      <c r="B944" s="43"/>
      <c r="C944" s="43"/>
    </row>
    <row r="945">
      <c r="A945" s="23"/>
      <c r="B945" s="43"/>
      <c r="C945" s="43"/>
    </row>
    <row r="946">
      <c r="A946" s="23"/>
      <c r="B946" s="43"/>
      <c r="C946" s="43"/>
    </row>
    <row r="947">
      <c r="A947" s="23"/>
      <c r="B947" s="43"/>
      <c r="C947" s="43"/>
    </row>
    <row r="948">
      <c r="A948" s="23"/>
      <c r="B948" s="43"/>
      <c r="C948" s="43"/>
    </row>
    <row r="949">
      <c r="A949" s="23"/>
      <c r="B949" s="43"/>
      <c r="C949" s="43"/>
    </row>
    <row r="950">
      <c r="A950" s="23"/>
      <c r="B950" s="43"/>
      <c r="C950" s="43"/>
    </row>
    <row r="951">
      <c r="A951" s="23"/>
      <c r="B951" s="43"/>
      <c r="C951" s="43"/>
    </row>
    <row r="952">
      <c r="A952" s="23"/>
      <c r="B952" s="43"/>
      <c r="C952" s="43"/>
    </row>
    <row r="953">
      <c r="A953" s="23"/>
      <c r="B953" s="43"/>
      <c r="C953" s="43"/>
    </row>
    <row r="954">
      <c r="A954" s="23"/>
      <c r="B954" s="43"/>
      <c r="C954" s="43"/>
    </row>
    <row r="955">
      <c r="A955" s="23"/>
      <c r="B955" s="43"/>
      <c r="C955" s="43"/>
    </row>
    <row r="956">
      <c r="A956" s="23"/>
      <c r="B956" s="43"/>
      <c r="C956" s="43"/>
    </row>
    <row r="957">
      <c r="A957" s="23"/>
      <c r="B957" s="43"/>
      <c r="C957" s="43"/>
    </row>
    <row r="958">
      <c r="A958" s="23"/>
      <c r="B958" s="43"/>
      <c r="C958" s="43"/>
    </row>
    <row r="959">
      <c r="A959" s="23"/>
      <c r="B959" s="43"/>
      <c r="C959" s="43"/>
    </row>
    <row r="960">
      <c r="A960" s="23"/>
      <c r="B960" s="43"/>
      <c r="C960" s="43"/>
    </row>
    <row r="961">
      <c r="A961" s="23"/>
      <c r="B961" s="43"/>
      <c r="C961" s="43"/>
    </row>
    <row r="962">
      <c r="A962" s="23"/>
      <c r="B962" s="43"/>
      <c r="C962" s="43"/>
    </row>
    <row r="963">
      <c r="A963" s="23"/>
      <c r="B963" s="43"/>
      <c r="C963" s="43"/>
    </row>
    <row r="964">
      <c r="A964" s="23"/>
      <c r="B964" s="43"/>
      <c r="C964" s="43"/>
    </row>
    <row r="965">
      <c r="A965" s="23"/>
      <c r="B965" s="43"/>
      <c r="C965" s="43"/>
    </row>
    <row r="966">
      <c r="A966" s="23"/>
      <c r="B966" s="43"/>
      <c r="C966" s="43"/>
    </row>
    <row r="967">
      <c r="A967" s="23"/>
      <c r="B967" s="43"/>
      <c r="C967" s="43"/>
    </row>
    <row r="968">
      <c r="A968" s="23"/>
      <c r="B968" s="43"/>
      <c r="C968" s="43"/>
    </row>
    <row r="969">
      <c r="A969" s="23"/>
      <c r="B969" s="43"/>
      <c r="C969" s="43"/>
    </row>
    <row r="970">
      <c r="A970" s="23"/>
      <c r="B970" s="43"/>
      <c r="C970" s="43"/>
    </row>
    <row r="971">
      <c r="A971" s="23"/>
      <c r="B971" s="43"/>
      <c r="C971" s="43"/>
    </row>
    <row r="972">
      <c r="A972" s="23"/>
      <c r="B972" s="43"/>
      <c r="C972" s="43"/>
    </row>
    <row r="973">
      <c r="A973" s="23"/>
      <c r="B973" s="43"/>
      <c r="C973" s="43"/>
    </row>
    <row r="974">
      <c r="A974" s="23"/>
      <c r="B974" s="43"/>
      <c r="C974" s="43"/>
    </row>
    <row r="975">
      <c r="A975" s="23"/>
      <c r="B975" s="43"/>
      <c r="C975" s="43"/>
    </row>
    <row r="976">
      <c r="A976" s="23"/>
      <c r="B976" s="43"/>
      <c r="C976" s="43"/>
    </row>
    <row r="977">
      <c r="A977" s="23"/>
      <c r="B977" s="43"/>
      <c r="C977" s="43"/>
    </row>
    <row r="978">
      <c r="A978" s="23"/>
      <c r="B978" s="43"/>
      <c r="C978" s="43"/>
    </row>
    <row r="979">
      <c r="A979" s="23"/>
      <c r="B979" s="43"/>
      <c r="C979" s="43"/>
    </row>
    <row r="980">
      <c r="A980" s="23"/>
      <c r="B980" s="43"/>
      <c r="C980" s="43"/>
    </row>
    <row r="981">
      <c r="A981" s="23"/>
      <c r="B981" s="43"/>
      <c r="C981" s="43"/>
    </row>
    <row r="982">
      <c r="A982" s="23"/>
      <c r="B982" s="43"/>
      <c r="C982" s="43"/>
    </row>
    <row r="983">
      <c r="A983" s="23"/>
      <c r="B983" s="43"/>
      <c r="C983" s="43"/>
    </row>
    <row r="984">
      <c r="A984" s="23"/>
      <c r="B984" s="43"/>
      <c r="C984" s="43"/>
    </row>
    <row r="985">
      <c r="A985" s="23"/>
      <c r="B985" s="43"/>
      <c r="C985" s="43"/>
    </row>
    <row r="986">
      <c r="A986" s="23"/>
      <c r="B986" s="43"/>
      <c r="C986" s="43"/>
    </row>
    <row r="987">
      <c r="A987" s="23"/>
      <c r="B987" s="43"/>
      <c r="C987" s="43"/>
    </row>
    <row r="988">
      <c r="A988" s="23"/>
      <c r="B988" s="43"/>
      <c r="C988" s="43"/>
    </row>
    <row r="989">
      <c r="A989" s="23"/>
      <c r="B989" s="43"/>
      <c r="C989" s="43"/>
    </row>
    <row r="990">
      <c r="A990" s="23"/>
      <c r="B990" s="43"/>
      <c r="C990" s="43"/>
    </row>
    <row r="991">
      <c r="A991" s="23"/>
      <c r="B991" s="43"/>
      <c r="C991" s="43"/>
    </row>
    <row r="992">
      <c r="A992" s="23"/>
      <c r="B992" s="43"/>
      <c r="C992" s="43"/>
    </row>
    <row r="993">
      <c r="A993" s="23"/>
      <c r="B993" s="43"/>
      <c r="C993" s="43"/>
    </row>
    <row r="994">
      <c r="A994" s="23"/>
      <c r="B994" s="43"/>
      <c r="C994" s="43"/>
    </row>
    <row r="995">
      <c r="A995" s="23"/>
      <c r="B995" s="43"/>
      <c r="C995" s="43"/>
    </row>
    <row r="996">
      <c r="A996" s="23"/>
      <c r="B996" s="43"/>
      <c r="C996" s="43"/>
    </row>
    <row r="997">
      <c r="A997" s="23"/>
      <c r="B997" s="43"/>
      <c r="C997" s="43"/>
    </row>
    <row r="998">
      <c r="A998" s="23"/>
      <c r="B998" s="43"/>
      <c r="C998" s="43"/>
    </row>
    <row r="999">
      <c r="A999" s="23"/>
      <c r="B999" s="43"/>
      <c r="C999" s="43"/>
    </row>
    <row r="1000">
      <c r="A1000" s="23"/>
      <c r="B1000" s="43"/>
      <c r="C1000" s="4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6" max="6" width="14.5"/>
  </cols>
  <sheetData>
    <row r="1">
      <c r="A1" s="1" t="s">
        <v>0</v>
      </c>
      <c r="B1" s="35" t="s">
        <v>26</v>
      </c>
      <c r="C1" s="36" t="s">
        <v>15</v>
      </c>
    </row>
    <row r="2">
      <c r="A2" s="7">
        <v>46091.0</v>
      </c>
      <c r="B2" s="43">
        <f>VLOOKUP(A2,'Return prepared data'!A:L,6,0)</f>
        <v>0.004994173464</v>
      </c>
      <c r="C2" s="43">
        <f>VLOOKUP(A2,'Return prepared data'!A:L,7,0)</f>
        <v>0.006273122085</v>
      </c>
      <c r="E2" s="3" t="s">
        <v>42</v>
      </c>
      <c r="F2" s="3">
        <f>_xlfn.COVARIANCE.S(B:B,C:C)</f>
        <v>0.0003269834144</v>
      </c>
    </row>
    <row r="3">
      <c r="A3" s="13">
        <v>46090.0</v>
      </c>
      <c r="B3" s="43">
        <f>VLOOKUP(A3,'Return prepared data'!A:L,6,0)</f>
        <v>-0.005381240169</v>
      </c>
      <c r="C3" s="43">
        <f>VLOOKUP(A3,'Return prepared data'!A:L,7,0)</f>
        <v>0.00436187399</v>
      </c>
      <c r="E3" s="3" t="s">
        <v>43</v>
      </c>
      <c r="F3" s="48">
        <f>CORREL(B:B,C:C)</f>
        <v>0.2816417213</v>
      </c>
    </row>
    <row r="4">
      <c r="A4" s="7">
        <v>46083.0</v>
      </c>
      <c r="B4" s="43">
        <f>VLOOKUP(A4,'Return prepared data'!A:L,6,0)</f>
        <v>0.06151682925</v>
      </c>
      <c r="C4" s="43">
        <f>VLOOKUP(A4,'Return prepared data'!A:L,7,0)</f>
        <v>-0.03243454474</v>
      </c>
      <c r="E4" s="3" t="s">
        <v>44</v>
      </c>
      <c r="F4" s="41">
        <f>F3^2</f>
        <v>0.07932205919</v>
      </c>
    </row>
    <row r="5">
      <c r="A5" s="13">
        <v>46076.0</v>
      </c>
      <c r="B5" s="43">
        <f>VLOOKUP(A5,'Return prepared data'!A:L,6,0)</f>
        <v>-0.02485217242</v>
      </c>
      <c r="C5" s="43">
        <f>VLOOKUP(A5,'Return prepared data'!A:L,7,0)</f>
        <v>0.04032848199</v>
      </c>
    </row>
    <row r="6">
      <c r="A6" s="7">
        <v>46069.0</v>
      </c>
      <c r="B6" s="43">
        <f>VLOOKUP(A6,'Return prepared data'!A:L,6,0)</f>
        <v>0.01832620648</v>
      </c>
      <c r="C6" s="43">
        <f>VLOOKUP(A6,'Return prepared data'!A:L,7,0)</f>
        <v>-0.08141011278</v>
      </c>
    </row>
    <row r="7">
      <c r="A7" s="13">
        <v>46062.0</v>
      </c>
      <c r="B7" s="43">
        <f>VLOOKUP(A7,'Return prepared data'!A:L,6,0)</f>
        <v>0.001748404581</v>
      </c>
      <c r="C7" s="43">
        <f>VLOOKUP(A7,'Return prepared data'!A:L,7,0)</f>
        <v>0.02065863699</v>
      </c>
    </row>
    <row r="8">
      <c r="A8" s="7">
        <v>46055.0</v>
      </c>
      <c r="B8" s="43">
        <f>VLOOKUP(A8,'Return prepared data'!A:L,6,0)</f>
        <v>0.09558471411</v>
      </c>
      <c r="C8" s="43">
        <f>VLOOKUP(A8,'Return prepared data'!A:L,7,0)</f>
        <v>0.1010575793</v>
      </c>
    </row>
    <row r="9">
      <c r="A9" s="13">
        <v>46048.0</v>
      </c>
      <c r="B9" s="43">
        <f>VLOOKUP(A9,'Return prepared data'!A:L,6,0)</f>
        <v>-0.02429679469</v>
      </c>
      <c r="C9" s="43">
        <f>VLOOKUP(A9,'Return prepared data'!A:L,7,0)</f>
        <v>0.01197655653</v>
      </c>
    </row>
    <row r="10">
      <c r="A10" s="7">
        <v>46041.0</v>
      </c>
      <c r="B10" s="43">
        <f>VLOOKUP(A10,'Return prepared data'!A:L,6,0)</f>
        <v>-0.02859477124</v>
      </c>
      <c r="C10" s="43">
        <f>VLOOKUP(A10,'Return prepared data'!A:L,7,0)</f>
        <v>-0.01645781119</v>
      </c>
    </row>
    <row r="11">
      <c r="A11" s="13">
        <v>46034.0</v>
      </c>
      <c r="B11" s="43">
        <f>VLOOKUP(A11,'Return prepared data'!A:L,6,0)</f>
        <v>0.05456634118</v>
      </c>
      <c r="C11" s="43">
        <f>VLOOKUP(A11,'Return prepared data'!A:L,7,0)</f>
        <v>0.04514101109</v>
      </c>
    </row>
    <row r="12">
      <c r="A12" s="7">
        <v>46027.0</v>
      </c>
      <c r="B12" s="43">
        <f>VLOOKUP(A12,'Return prepared data'!A:L,6,0)</f>
        <v>0.04984924623</v>
      </c>
      <c r="C12" s="43">
        <f>VLOOKUP(A12,'Return prepared data'!A:L,7,0)</f>
        <v>0.01569705569</v>
      </c>
    </row>
    <row r="13">
      <c r="A13" s="13">
        <v>46020.0</v>
      </c>
      <c r="B13" s="43">
        <f>VLOOKUP(A13,'Return prepared data'!A:L,6,0)</f>
        <v>0.009639776763</v>
      </c>
      <c r="C13" s="43">
        <f>VLOOKUP(A13,'Return prepared data'!A:L,7,0)</f>
        <v>0.009128333632</v>
      </c>
    </row>
    <row r="14">
      <c r="A14" s="7">
        <v>46013.0</v>
      </c>
      <c r="B14" s="43">
        <f>VLOOKUP(A14,'Return prepared data'!A:L,6,0)</f>
        <v>0.01576994434</v>
      </c>
      <c r="C14" s="43">
        <f>VLOOKUP(A14,'Return prepared data'!A:L,7,0)</f>
        <v>-0.02291010843</v>
      </c>
    </row>
    <row r="15">
      <c r="A15" s="13">
        <v>46006.0</v>
      </c>
      <c r="B15" s="43">
        <f>VLOOKUP(A15,'Return prepared data'!A:L,6,0)</f>
        <v>0.009468317553</v>
      </c>
      <c r="C15" s="43">
        <f>VLOOKUP(A15,'Return prepared data'!A:L,7,0)</f>
        <v>-0.0180319423</v>
      </c>
    </row>
    <row r="16">
      <c r="A16" s="7">
        <v>45999.0</v>
      </c>
      <c r="B16" s="43">
        <f>VLOOKUP(A16,'Return prepared data'!A:L,6,0)</f>
        <v>0.05314486084</v>
      </c>
      <c r="C16" s="43">
        <f>VLOOKUP(A16,'Return prepared data'!A:L,7,0)</f>
        <v>0.01375348189</v>
      </c>
    </row>
    <row r="17">
      <c r="A17" s="13">
        <v>45992.0</v>
      </c>
      <c r="B17" s="43">
        <f>VLOOKUP(A17,'Return prepared data'!A:L,6,0)</f>
        <v>0.01727789544</v>
      </c>
      <c r="C17" s="43">
        <f>VLOOKUP(A17,'Return prepared data'!A:L,7,0)</f>
        <v>0.04161755372</v>
      </c>
    </row>
    <row r="18">
      <c r="A18" s="7">
        <v>45985.0</v>
      </c>
      <c r="B18" s="43">
        <f>VLOOKUP(A18,'Return prepared data'!A:L,6,0)</f>
        <v>0.03424025824</v>
      </c>
      <c r="C18" s="43">
        <f>VLOOKUP(A18,'Return prepared data'!A:L,7,0)</f>
        <v>0.04928170488</v>
      </c>
    </row>
    <row r="19">
      <c r="A19" s="13">
        <v>45978.0</v>
      </c>
      <c r="B19" s="43">
        <f>VLOOKUP(A19,'Return prepared data'!A:L,6,0)</f>
        <v>-0.01308453749</v>
      </c>
      <c r="C19" s="43">
        <f>VLOOKUP(A19,'Return prepared data'!A:L,7,0)</f>
        <v>0.02776962941</v>
      </c>
    </row>
    <row r="20">
      <c r="A20" s="7">
        <v>45971.0</v>
      </c>
      <c r="B20" s="43">
        <f>VLOOKUP(A20,'Return prepared data'!A:L,6,0)</f>
        <v>-0.01468609865</v>
      </c>
      <c r="C20" s="43">
        <f>VLOOKUP(A20,'Return prepared data'!A:L,7,0)</f>
        <v>-0.001074428599</v>
      </c>
    </row>
    <row r="21">
      <c r="A21" s="13">
        <v>45964.0</v>
      </c>
      <c r="B21" s="43">
        <f>VLOOKUP(A21,'Return prepared data'!A:L,6,0)</f>
        <v>-0.0158870256</v>
      </c>
      <c r="C21" s="43">
        <f>VLOOKUP(A21,'Return prepared data'!A:L,7,0)</f>
        <v>0.01396454392</v>
      </c>
    </row>
    <row r="22">
      <c r="A22" s="7">
        <v>45957.0</v>
      </c>
      <c r="B22" s="43">
        <f>VLOOKUP(A22,'Return prepared data'!A:L,6,0)</f>
        <v>-0.01638632664</v>
      </c>
      <c r="C22" s="43">
        <f>VLOOKUP(A22,'Return prepared data'!A:L,7,0)</f>
        <v>-0.04700330345</v>
      </c>
    </row>
    <row r="23">
      <c r="A23" s="13">
        <v>45950.0</v>
      </c>
      <c r="B23" s="43">
        <f>VLOOKUP(A23,'Return prepared data'!A:L,6,0)</f>
        <v>0.03760837743</v>
      </c>
      <c r="C23" s="43">
        <f>VLOOKUP(A23,'Return prepared data'!A:L,7,0)</f>
        <v>-0.01451027811</v>
      </c>
    </row>
    <row r="24">
      <c r="A24" s="7">
        <v>45943.0</v>
      </c>
      <c r="B24" s="43">
        <f>VLOOKUP(A24,'Return prepared data'!A:L,6,0)</f>
        <v>0.06219351752</v>
      </c>
      <c r="C24" s="43">
        <f>VLOOKUP(A24,'Return prepared data'!A:L,7,0)</f>
        <v>0.05785693201</v>
      </c>
    </row>
    <row r="25">
      <c r="A25" s="13">
        <v>45936.0</v>
      </c>
      <c r="B25" s="43">
        <f>VLOOKUP(A25,'Return prepared data'!A:L,6,0)</f>
        <v>-0.03940716912</v>
      </c>
      <c r="C25" s="43">
        <f>VLOOKUP(A25,'Return prepared data'!A:L,7,0)</f>
        <v>-0.002258001178</v>
      </c>
    </row>
    <row r="26">
      <c r="A26" s="7">
        <v>45929.0</v>
      </c>
      <c r="B26" s="43">
        <f>VLOOKUP(A26,'Return prepared data'!A:L,6,0)</f>
        <v>0.01350721938</v>
      </c>
      <c r="C26" s="43">
        <f>VLOOKUP(A26,'Return prepared data'!A:L,7,0)</f>
        <v>-0.01058766391</v>
      </c>
    </row>
    <row r="27">
      <c r="A27" s="13">
        <v>45922.0</v>
      </c>
      <c r="B27" s="43">
        <f>VLOOKUP(A27,'Return prepared data'!A:L,6,0)</f>
        <v>-0.003249767874</v>
      </c>
      <c r="C27" s="43">
        <f>VLOOKUP(A27,'Return prepared data'!A:L,7,0)</f>
        <v>0.00812769291</v>
      </c>
    </row>
    <row r="28">
      <c r="A28" s="7">
        <v>45915.0</v>
      </c>
      <c r="B28" s="43">
        <f>VLOOKUP(A28,'Return prepared data'!A:L,6,0)</f>
        <v>-0.020352473</v>
      </c>
      <c r="C28" s="43">
        <f>VLOOKUP(A28,'Return prepared data'!A:L,7,0)</f>
        <v>-0.01123160341</v>
      </c>
    </row>
    <row r="29">
      <c r="A29" s="13">
        <v>45908.0</v>
      </c>
      <c r="B29" s="43">
        <f>VLOOKUP(A29,'Return prepared data'!A:L,6,0)</f>
        <v>-0.03436539306</v>
      </c>
      <c r="C29" s="43">
        <f>VLOOKUP(A29,'Return prepared data'!A:L,7,0)</f>
        <v>0.02960821453</v>
      </c>
    </row>
    <row r="30">
      <c r="A30" s="7">
        <v>45901.0</v>
      </c>
      <c r="B30" s="43">
        <f>VLOOKUP(A30,'Return prepared data'!A:L,6,0)</f>
        <v>-0.02930832356</v>
      </c>
      <c r="C30" s="43">
        <f>VLOOKUP(A30,'Return prepared data'!A:L,7,0)</f>
        <v>0.0364744782</v>
      </c>
    </row>
    <row r="31">
      <c r="A31" s="13">
        <v>45894.0</v>
      </c>
      <c r="B31" s="43">
        <f>VLOOKUP(A31,'Return prepared data'!A:L,6,0)</f>
        <v>-0.03287981859</v>
      </c>
      <c r="C31" s="43">
        <f>VLOOKUP(A31,'Return prepared data'!A:L,7,0)</f>
        <v>0.001552312946</v>
      </c>
    </row>
    <row r="32">
      <c r="A32" s="7">
        <v>45887.0</v>
      </c>
      <c r="B32" s="43">
        <f>VLOOKUP(A32,'Return prepared data'!A:L,6,0)</f>
        <v>-0.02619692864</v>
      </c>
      <c r="C32" s="43">
        <f>VLOOKUP(A32,'Return prepared data'!A:L,7,0)</f>
        <v>-0.02942948975</v>
      </c>
    </row>
    <row r="33">
      <c r="A33" s="13">
        <v>45880.0</v>
      </c>
      <c r="B33" s="43">
        <f>VLOOKUP(A33,'Return prepared data'!A:L,6,0)</f>
        <v>-0.02256450505</v>
      </c>
      <c r="C33" s="43">
        <f>VLOOKUP(A33,'Return prepared data'!A:L,7,0)</f>
        <v>-0.03601859024</v>
      </c>
    </row>
    <row r="34">
      <c r="A34" s="7">
        <v>45873.0</v>
      </c>
      <c r="B34" s="43">
        <f>VLOOKUP(A34,'Return prepared data'!A:L,6,0)</f>
        <v>0.05637889937</v>
      </c>
      <c r="C34" s="43">
        <f>VLOOKUP(A34,'Return prepared data'!A:L,7,0)</f>
        <v>0.05323271466</v>
      </c>
    </row>
    <row r="35">
      <c r="A35" s="13">
        <v>45866.0</v>
      </c>
      <c r="B35" s="43">
        <f>VLOOKUP(A35,'Return prepared data'!A:L,6,0)</f>
        <v>-0.05918486739</v>
      </c>
      <c r="C35" s="43">
        <f>VLOOKUP(A35,'Return prepared data'!A:L,7,0)</f>
        <v>0.0104070067</v>
      </c>
    </row>
    <row r="36">
      <c r="A36" s="7">
        <v>45859.0</v>
      </c>
      <c r="B36" s="43">
        <f>VLOOKUP(A36,'Return prepared data'!A:L,6,0)</f>
        <v>0.02498500899</v>
      </c>
      <c r="C36" s="43">
        <f>VLOOKUP(A36,'Return prepared data'!A:L,7,0)</f>
        <v>0.0254649197</v>
      </c>
    </row>
    <row r="37">
      <c r="A37" s="13">
        <v>45852.0</v>
      </c>
      <c r="B37" s="43">
        <f>VLOOKUP(A37,'Return prepared data'!A:L,6,0)</f>
        <v>-0.007439738121</v>
      </c>
      <c r="C37" s="43">
        <f>VLOOKUP(A37,'Return prepared data'!A:L,7,0)</f>
        <v>0.006915629322</v>
      </c>
    </row>
    <row r="38">
      <c r="A38" s="7">
        <v>45845.0</v>
      </c>
      <c r="B38" s="43">
        <f>VLOOKUP(A38,'Return prepared data'!A:L,6,0)</f>
        <v>0.001689189189</v>
      </c>
      <c r="C38" s="43">
        <f>VLOOKUP(A38,'Return prepared data'!A:L,7,0)</f>
        <v>-0.04023281936</v>
      </c>
    </row>
    <row r="39">
      <c r="A39" s="13">
        <v>45838.0</v>
      </c>
      <c r="B39" s="43">
        <f>VLOOKUP(A39,'Return prepared data'!A:L,6,0)</f>
        <v>0.04866103991</v>
      </c>
      <c r="C39" s="43">
        <f>VLOOKUP(A39,'Return prepared data'!A:L,7,0)</f>
        <v>0.01115126484</v>
      </c>
    </row>
    <row r="40">
      <c r="A40" s="7">
        <v>45831.0</v>
      </c>
      <c r="B40" s="43">
        <f>VLOOKUP(A40,'Return prepared data'!A:L,6,0)</f>
        <v>0.03863636364</v>
      </c>
      <c r="C40" s="43">
        <f>VLOOKUP(A40,'Return prepared data'!A:L,7,0)</f>
        <v>0.01201671891</v>
      </c>
    </row>
    <row r="41">
      <c r="A41" s="13">
        <v>45824.0</v>
      </c>
      <c r="B41" s="43">
        <f>VLOOKUP(A41,'Return prepared data'!A:L,6,0)</f>
        <v>0.001843218042</v>
      </c>
      <c r="C41" s="43">
        <f>VLOOKUP(A41,'Return prepared data'!A:L,7,0)</f>
        <v>0.01776028927</v>
      </c>
    </row>
    <row r="42">
      <c r="A42" s="7">
        <v>45817.0</v>
      </c>
      <c r="B42" s="43">
        <f>VLOOKUP(A42,'Return prepared data'!A:L,6,0)</f>
        <v>-0.02008074798</v>
      </c>
      <c r="C42" s="43">
        <f>VLOOKUP(A42,'Return prepared data'!A:L,7,0)</f>
        <v>-0.03111798042</v>
      </c>
    </row>
    <row r="43">
      <c r="A43" s="13">
        <v>45810.0</v>
      </c>
      <c r="B43" s="43">
        <f>VLOOKUP(A43,'Return prepared data'!A:L,6,0)</f>
        <v>0.03519577651</v>
      </c>
      <c r="C43" s="43">
        <f>VLOOKUP(A43,'Return prepared data'!A:L,7,0)</f>
        <v>-0.01261572897</v>
      </c>
    </row>
    <row r="44">
      <c r="A44" s="7">
        <v>45803.0</v>
      </c>
      <c r="B44" s="43">
        <f>VLOOKUP(A44,'Return prepared data'!A:L,6,0)</f>
        <v>-0.002960850971</v>
      </c>
      <c r="C44" s="43">
        <f>VLOOKUP(A44,'Return prepared data'!A:L,7,0)</f>
        <v>0.02470809008</v>
      </c>
    </row>
    <row r="45">
      <c r="A45" s="13">
        <v>45796.0</v>
      </c>
      <c r="B45" s="43">
        <f>VLOOKUP(A45,'Return prepared data'!A:L,6,0)</f>
        <v>-0.03256948865</v>
      </c>
      <c r="C45" s="43">
        <f>VLOOKUP(A45,'Return prepared data'!A:L,7,0)</f>
        <v>-0.01932317759</v>
      </c>
    </row>
    <row r="46">
      <c r="A46" s="7">
        <v>45789.0</v>
      </c>
      <c r="B46" s="43">
        <f>VLOOKUP(A46,'Return prepared data'!A:L,6,0)</f>
        <v>0.02256454762</v>
      </c>
      <c r="C46" s="43">
        <f>VLOOKUP(A46,'Return prepared data'!A:L,7,0)</f>
        <v>0.01811179348</v>
      </c>
    </row>
    <row r="47">
      <c r="A47" s="13">
        <v>45782.0</v>
      </c>
      <c r="B47" s="43">
        <f>VLOOKUP(A47,'Return prepared data'!A:L,6,0)</f>
        <v>-0.009881847476</v>
      </c>
      <c r="C47" s="43">
        <f>VLOOKUP(A47,'Return prepared data'!A:L,7,0)</f>
        <v>-0.02049347471</v>
      </c>
    </row>
    <row r="48">
      <c r="A48" s="20">
        <v>45775.0</v>
      </c>
      <c r="B48" s="43">
        <f>VLOOKUP(A48,'Return prepared data'!A:L,6,0)</f>
        <v>0.008121277748</v>
      </c>
      <c r="C48" s="43">
        <f>VLOOKUP(A48,'Return prepared data'!A:L,7,0)</f>
        <v>0.03843303335</v>
      </c>
    </row>
    <row r="49">
      <c r="A49" s="13">
        <v>45768.0</v>
      </c>
      <c r="B49" s="43">
        <f>VLOOKUP(A49,'Return prepared data'!A:L,6,0)</f>
        <v>0.03729080085</v>
      </c>
      <c r="C49" s="43">
        <f>VLOOKUP(A49,'Return prepared data'!A:L,7,0)</f>
        <v>0.02008856248</v>
      </c>
    </row>
    <row r="50">
      <c r="A50" s="7">
        <v>45761.0</v>
      </c>
      <c r="B50" s="43">
        <f>VLOOKUP(A50,'Return prepared data'!A:L,6,0)</f>
        <v>0.003494138864</v>
      </c>
      <c r="C50" s="43">
        <f>VLOOKUP(A50,'Return prepared data'!A:L,7,0)</f>
        <v>0.004556797223</v>
      </c>
    </row>
    <row r="51">
      <c r="A51" s="13">
        <v>45754.0</v>
      </c>
      <c r="B51" s="43">
        <f>VLOOKUP(A51,'Return prepared data'!A:L,6,0)</f>
        <v>-0.03070031684</v>
      </c>
      <c r="C51" s="43">
        <f>VLOOKUP(A51,'Return prepared data'!A:L,7,0)</f>
        <v>0.1154544354</v>
      </c>
    </row>
    <row r="52">
      <c r="A52" s="7">
        <v>45747.0</v>
      </c>
      <c r="B52" s="43">
        <f>VLOOKUP(A52,'Return prepared data'!A:L,6,0)</f>
        <v>-0.07648067803</v>
      </c>
      <c r="C52" s="43">
        <f>VLOOKUP(A52,'Return prepared data'!A:L,7,0)</f>
        <v>-0.02293957668</v>
      </c>
    </row>
    <row r="53">
      <c r="A53" s="13">
        <v>45740.0</v>
      </c>
      <c r="B53" s="43">
        <f>VLOOKUP(A53,'Return prepared data'!A:L,6,0)</f>
        <v>-0.00391959799</v>
      </c>
      <c r="C53" s="43">
        <f>VLOOKUP(A53,'Return prepared data'!A:L,7,0)</f>
        <v>-0.006928135275</v>
      </c>
    </row>
    <row r="54">
      <c r="A54" s="7">
        <v>45733.0</v>
      </c>
      <c r="B54" s="43">
        <f>VLOOKUP(A54,'Return prepared data'!A:L,6,0)</f>
        <v>-0.006093297373</v>
      </c>
      <c r="C54" s="43">
        <f>VLOOKUP(A54,'Return prepared data'!A:L,7,0)</f>
        <v>0.007333806482</v>
      </c>
    </row>
    <row r="55">
      <c r="A55" s="47">
        <v>45726.0</v>
      </c>
      <c r="B55" s="43"/>
      <c r="C55" s="43"/>
    </row>
    <row r="56">
      <c r="A56" s="23"/>
      <c r="B56" s="43"/>
      <c r="C56" s="43"/>
    </row>
    <row r="57">
      <c r="A57" s="23"/>
      <c r="B57" s="43"/>
      <c r="C57" s="43"/>
    </row>
    <row r="58">
      <c r="A58" s="26"/>
      <c r="B58" s="43"/>
      <c r="C58" s="43"/>
    </row>
    <row r="59">
      <c r="A59" s="28"/>
      <c r="B59" s="43"/>
      <c r="C59" s="43"/>
    </row>
    <row r="60">
      <c r="A60" s="30"/>
      <c r="B60" s="43"/>
      <c r="C60" s="43"/>
    </row>
    <row r="61">
      <c r="A61" s="32"/>
      <c r="B61" s="43"/>
      <c r="C61" s="43"/>
    </row>
    <row r="62">
      <c r="A62" s="23"/>
      <c r="B62" s="43"/>
      <c r="C62" s="43"/>
    </row>
    <row r="63">
      <c r="A63" s="23"/>
      <c r="B63" s="43"/>
      <c r="C63" s="43"/>
    </row>
    <row r="64">
      <c r="A64" s="23"/>
      <c r="B64" s="43"/>
      <c r="C64" s="43"/>
    </row>
    <row r="65">
      <c r="A65" s="23"/>
      <c r="B65" s="43"/>
      <c r="C65" s="43"/>
    </row>
    <row r="66">
      <c r="A66" s="1"/>
      <c r="B66" s="43"/>
      <c r="C66" s="43"/>
    </row>
    <row r="67">
      <c r="A67" s="23"/>
      <c r="B67" s="43"/>
      <c r="C67" s="43"/>
    </row>
    <row r="68">
      <c r="A68" s="23"/>
      <c r="B68" s="43"/>
      <c r="C68" s="43"/>
    </row>
    <row r="69">
      <c r="A69" s="23"/>
      <c r="B69" s="43"/>
      <c r="C69" s="43"/>
    </row>
    <row r="70">
      <c r="A70" s="23"/>
      <c r="B70" s="43"/>
      <c r="C70" s="43"/>
    </row>
    <row r="71">
      <c r="A71" s="23"/>
      <c r="B71" s="43"/>
      <c r="C71" s="43"/>
    </row>
    <row r="72">
      <c r="A72" s="23"/>
      <c r="B72" s="43"/>
      <c r="C72" s="43"/>
    </row>
    <row r="73">
      <c r="A73" s="23"/>
      <c r="B73" s="43"/>
      <c r="C73" s="43"/>
    </row>
    <row r="74">
      <c r="A74" s="23"/>
      <c r="B74" s="43"/>
      <c r="C74" s="43"/>
    </row>
    <row r="75">
      <c r="A75" s="23"/>
      <c r="B75" s="43"/>
      <c r="C75" s="43"/>
    </row>
    <row r="76">
      <c r="A76" s="23"/>
      <c r="B76" s="43"/>
      <c r="C76" s="43"/>
    </row>
    <row r="77">
      <c r="A77" s="23"/>
      <c r="B77" s="43"/>
      <c r="C77" s="43"/>
    </row>
    <row r="78">
      <c r="A78" s="23"/>
      <c r="B78" s="43"/>
      <c r="C78" s="43"/>
    </row>
    <row r="79">
      <c r="A79" s="23"/>
      <c r="B79" s="43"/>
      <c r="C79" s="43"/>
    </row>
    <row r="80">
      <c r="A80" s="23"/>
      <c r="B80" s="43"/>
      <c r="C80" s="43"/>
    </row>
    <row r="81">
      <c r="A81" s="23"/>
      <c r="B81" s="43"/>
      <c r="C81" s="43"/>
    </row>
    <row r="82">
      <c r="A82" s="23"/>
      <c r="B82" s="43"/>
      <c r="C82" s="43"/>
    </row>
    <row r="83">
      <c r="A83" s="23"/>
      <c r="B83" s="43"/>
      <c r="C83" s="43"/>
    </row>
    <row r="84">
      <c r="A84" s="23"/>
      <c r="B84" s="43"/>
      <c r="C84" s="43"/>
    </row>
    <row r="85">
      <c r="A85" s="23"/>
      <c r="B85" s="43"/>
      <c r="C85" s="43"/>
    </row>
    <row r="86">
      <c r="A86" s="23"/>
      <c r="B86" s="43"/>
      <c r="C86" s="43"/>
    </row>
    <row r="87">
      <c r="A87" s="23"/>
      <c r="B87" s="43"/>
      <c r="C87" s="43"/>
    </row>
    <row r="88">
      <c r="A88" s="23"/>
      <c r="B88" s="43"/>
      <c r="C88" s="43"/>
    </row>
    <row r="89">
      <c r="A89" s="23"/>
      <c r="B89" s="43"/>
      <c r="C89" s="43"/>
    </row>
    <row r="90">
      <c r="A90" s="23"/>
      <c r="B90" s="43"/>
      <c r="C90" s="43"/>
    </row>
    <row r="91">
      <c r="A91" s="23"/>
      <c r="B91" s="43"/>
      <c r="C91" s="43"/>
    </row>
    <row r="92">
      <c r="A92" s="23"/>
      <c r="B92" s="43"/>
      <c r="C92" s="43"/>
    </row>
    <row r="93">
      <c r="A93" s="23"/>
      <c r="B93" s="43"/>
      <c r="C93" s="43"/>
    </row>
    <row r="94">
      <c r="A94" s="23"/>
      <c r="B94" s="43"/>
      <c r="C94" s="43"/>
    </row>
    <row r="95">
      <c r="A95" s="23"/>
      <c r="B95" s="43"/>
      <c r="C95" s="43"/>
    </row>
    <row r="96">
      <c r="A96" s="23"/>
      <c r="B96" s="43"/>
      <c r="C96" s="43"/>
    </row>
    <row r="97">
      <c r="A97" s="23"/>
      <c r="B97" s="43"/>
      <c r="C97" s="43"/>
    </row>
    <row r="98">
      <c r="A98" s="23"/>
      <c r="B98" s="43"/>
      <c r="C98" s="43"/>
    </row>
    <row r="99">
      <c r="A99" s="23"/>
      <c r="B99" s="43"/>
      <c r="C99" s="43"/>
    </row>
    <row r="100">
      <c r="A100" s="23"/>
      <c r="B100" s="43"/>
      <c r="C100" s="43"/>
    </row>
    <row r="101">
      <c r="A101" s="23"/>
      <c r="B101" s="43"/>
      <c r="C101" s="43"/>
    </row>
    <row r="102">
      <c r="A102" s="23"/>
      <c r="B102" s="43"/>
      <c r="C102" s="43"/>
    </row>
    <row r="103">
      <c r="A103" s="23"/>
      <c r="B103" s="43"/>
      <c r="C103" s="43"/>
    </row>
    <row r="104">
      <c r="A104" s="23"/>
      <c r="B104" s="43"/>
      <c r="C104" s="43"/>
    </row>
    <row r="105">
      <c r="A105" s="23"/>
      <c r="B105" s="43"/>
      <c r="C105" s="43"/>
    </row>
    <row r="106">
      <c r="A106" s="23"/>
      <c r="B106" s="43"/>
      <c r="C106" s="43"/>
    </row>
    <row r="107">
      <c r="A107" s="23"/>
      <c r="B107" s="43"/>
      <c r="C107" s="43"/>
    </row>
    <row r="108">
      <c r="A108" s="23"/>
      <c r="B108" s="43"/>
      <c r="C108" s="43"/>
    </row>
    <row r="109">
      <c r="A109" s="23"/>
      <c r="B109" s="43"/>
      <c r="C109" s="43"/>
    </row>
    <row r="110">
      <c r="A110" s="23"/>
      <c r="B110" s="43"/>
      <c r="C110" s="43"/>
    </row>
    <row r="111">
      <c r="A111" s="23"/>
      <c r="B111" s="43"/>
      <c r="C111" s="43"/>
    </row>
    <row r="112">
      <c r="A112" s="23"/>
      <c r="B112" s="43"/>
      <c r="C112" s="43"/>
    </row>
    <row r="113">
      <c r="A113" s="23"/>
      <c r="B113" s="43"/>
      <c r="C113" s="43"/>
    </row>
    <row r="114">
      <c r="A114" s="23"/>
      <c r="B114" s="43"/>
      <c r="C114" s="43"/>
    </row>
    <row r="115">
      <c r="A115" s="23"/>
      <c r="B115" s="43"/>
      <c r="C115" s="43"/>
    </row>
    <row r="116">
      <c r="A116" s="23"/>
      <c r="B116" s="43"/>
      <c r="C116" s="43"/>
    </row>
    <row r="117">
      <c r="A117" s="23"/>
      <c r="B117" s="43"/>
      <c r="C117" s="43"/>
    </row>
    <row r="118">
      <c r="A118" s="23"/>
      <c r="B118" s="43"/>
      <c r="C118" s="43"/>
    </row>
    <row r="119">
      <c r="A119" s="23"/>
      <c r="B119" s="43"/>
      <c r="C119" s="43"/>
    </row>
    <row r="120">
      <c r="A120" s="23"/>
      <c r="B120" s="43"/>
      <c r="C120" s="43"/>
    </row>
    <row r="121">
      <c r="A121" s="23"/>
      <c r="B121" s="43"/>
      <c r="C121" s="43"/>
    </row>
    <row r="122">
      <c r="A122" s="23"/>
      <c r="B122" s="43"/>
      <c r="C122" s="43"/>
    </row>
    <row r="123">
      <c r="A123" s="23"/>
      <c r="B123" s="43"/>
      <c r="C123" s="43"/>
    </row>
    <row r="124">
      <c r="A124" s="23"/>
      <c r="B124" s="43"/>
      <c r="C124" s="43"/>
    </row>
    <row r="125">
      <c r="A125" s="23"/>
      <c r="B125" s="43"/>
      <c r="C125" s="43"/>
    </row>
    <row r="126">
      <c r="A126" s="23"/>
      <c r="B126" s="43"/>
      <c r="C126" s="43"/>
    </row>
    <row r="127">
      <c r="A127" s="23"/>
      <c r="B127" s="43"/>
      <c r="C127" s="43"/>
    </row>
    <row r="128">
      <c r="A128" s="23"/>
      <c r="B128" s="43"/>
      <c r="C128" s="43"/>
    </row>
    <row r="129">
      <c r="A129" s="23"/>
      <c r="B129" s="43"/>
      <c r="C129" s="43"/>
    </row>
    <row r="130">
      <c r="A130" s="23"/>
      <c r="B130" s="43"/>
      <c r="C130" s="43"/>
    </row>
    <row r="131">
      <c r="A131" s="23"/>
      <c r="B131" s="43"/>
      <c r="C131" s="43"/>
    </row>
    <row r="132">
      <c r="A132" s="23"/>
      <c r="B132" s="43"/>
      <c r="C132" s="43"/>
    </row>
    <row r="133">
      <c r="A133" s="23"/>
      <c r="B133" s="43"/>
      <c r="C133" s="43"/>
    </row>
    <row r="134">
      <c r="A134" s="23"/>
      <c r="B134" s="43"/>
      <c r="C134" s="43"/>
    </row>
    <row r="135">
      <c r="A135" s="23"/>
      <c r="B135" s="43"/>
      <c r="C135" s="43"/>
    </row>
    <row r="136">
      <c r="A136" s="23"/>
      <c r="B136" s="43"/>
      <c r="C136" s="43"/>
    </row>
    <row r="137">
      <c r="A137" s="23"/>
      <c r="B137" s="43"/>
      <c r="C137" s="43"/>
    </row>
    <row r="138">
      <c r="A138" s="23"/>
      <c r="B138" s="43"/>
      <c r="C138" s="43"/>
    </row>
    <row r="139">
      <c r="A139" s="23"/>
      <c r="B139" s="43"/>
      <c r="C139" s="43"/>
    </row>
    <row r="140">
      <c r="A140" s="23"/>
      <c r="B140" s="43"/>
      <c r="C140" s="43"/>
    </row>
    <row r="141">
      <c r="A141" s="23"/>
      <c r="B141" s="43"/>
      <c r="C141" s="43"/>
    </row>
    <row r="142">
      <c r="A142" s="23"/>
      <c r="B142" s="43"/>
      <c r="C142" s="43"/>
    </row>
    <row r="143">
      <c r="A143" s="23"/>
      <c r="B143" s="43"/>
      <c r="C143" s="43"/>
    </row>
    <row r="144">
      <c r="A144" s="23"/>
      <c r="B144" s="43"/>
      <c r="C144" s="43"/>
    </row>
    <row r="145">
      <c r="A145" s="23"/>
      <c r="B145" s="43"/>
      <c r="C145" s="43"/>
    </row>
    <row r="146">
      <c r="A146" s="23"/>
      <c r="B146" s="43"/>
      <c r="C146" s="43"/>
    </row>
    <row r="147">
      <c r="A147" s="23"/>
      <c r="B147" s="43"/>
      <c r="C147" s="43"/>
    </row>
    <row r="148">
      <c r="A148" s="23"/>
      <c r="B148" s="43"/>
      <c r="C148" s="43"/>
    </row>
    <row r="149">
      <c r="A149" s="23"/>
      <c r="B149" s="43"/>
      <c r="C149" s="43"/>
    </row>
    <row r="150">
      <c r="A150" s="23"/>
      <c r="B150" s="43"/>
      <c r="C150" s="43"/>
    </row>
    <row r="151">
      <c r="A151" s="23"/>
      <c r="B151" s="43"/>
      <c r="C151" s="43"/>
    </row>
    <row r="152">
      <c r="A152" s="23"/>
      <c r="B152" s="43"/>
      <c r="C152" s="43"/>
    </row>
    <row r="153">
      <c r="A153" s="23"/>
      <c r="B153" s="43"/>
      <c r="C153" s="43"/>
    </row>
    <row r="154">
      <c r="A154" s="23"/>
      <c r="B154" s="43"/>
      <c r="C154" s="43"/>
    </row>
    <row r="155">
      <c r="A155" s="23"/>
      <c r="B155" s="43"/>
      <c r="C155" s="43"/>
    </row>
    <row r="156">
      <c r="A156" s="23"/>
      <c r="B156" s="43"/>
      <c r="C156" s="43"/>
    </row>
    <row r="157">
      <c r="A157" s="23"/>
      <c r="B157" s="43"/>
      <c r="C157" s="43"/>
    </row>
    <row r="158">
      <c r="A158" s="23"/>
      <c r="B158" s="43"/>
      <c r="C158" s="43"/>
    </row>
    <row r="159">
      <c r="A159" s="23"/>
      <c r="B159" s="43"/>
      <c r="C159" s="43"/>
    </row>
    <row r="160">
      <c r="A160" s="23"/>
      <c r="B160" s="43"/>
      <c r="C160" s="43"/>
    </row>
    <row r="161">
      <c r="A161" s="23"/>
      <c r="B161" s="43"/>
      <c r="C161" s="43"/>
    </row>
    <row r="162">
      <c r="A162" s="23"/>
      <c r="B162" s="43"/>
      <c r="C162" s="43"/>
    </row>
    <row r="163">
      <c r="A163" s="23"/>
      <c r="B163" s="43"/>
      <c r="C163" s="43"/>
    </row>
    <row r="164">
      <c r="A164" s="23"/>
      <c r="B164" s="43"/>
      <c r="C164" s="43"/>
    </row>
    <row r="165">
      <c r="A165" s="23"/>
      <c r="B165" s="43"/>
      <c r="C165" s="43"/>
    </row>
    <row r="166">
      <c r="A166" s="23"/>
      <c r="B166" s="43"/>
      <c r="C166" s="43"/>
    </row>
    <row r="167">
      <c r="A167" s="23"/>
      <c r="B167" s="43"/>
      <c r="C167" s="43"/>
    </row>
    <row r="168">
      <c r="A168" s="23"/>
      <c r="B168" s="43"/>
      <c r="C168" s="43"/>
    </row>
    <row r="169">
      <c r="A169" s="23"/>
      <c r="B169" s="43"/>
      <c r="C169" s="43"/>
    </row>
    <row r="170">
      <c r="A170" s="23"/>
      <c r="B170" s="43"/>
      <c r="C170" s="43"/>
    </row>
    <row r="171">
      <c r="A171" s="23"/>
      <c r="B171" s="43"/>
      <c r="C171" s="43"/>
    </row>
    <row r="172">
      <c r="A172" s="23"/>
      <c r="B172" s="43"/>
      <c r="C172" s="43"/>
    </row>
    <row r="173">
      <c r="A173" s="23"/>
      <c r="B173" s="43"/>
      <c r="C173" s="43"/>
    </row>
    <row r="174">
      <c r="A174" s="23"/>
      <c r="B174" s="43"/>
      <c r="C174" s="43"/>
    </row>
    <row r="175">
      <c r="A175" s="23"/>
      <c r="B175" s="43"/>
      <c r="C175" s="43"/>
    </row>
    <row r="176">
      <c r="A176" s="23"/>
      <c r="B176" s="43"/>
      <c r="C176" s="43"/>
    </row>
    <row r="177">
      <c r="A177" s="23"/>
      <c r="B177" s="43"/>
      <c r="C177" s="43"/>
    </row>
    <row r="178">
      <c r="A178" s="23"/>
      <c r="B178" s="43"/>
      <c r="C178" s="43"/>
    </row>
    <row r="179">
      <c r="A179" s="23"/>
      <c r="B179" s="43"/>
      <c r="C179" s="43"/>
    </row>
    <row r="180">
      <c r="A180" s="23"/>
      <c r="B180" s="43"/>
      <c r="C180" s="43"/>
    </row>
    <row r="181">
      <c r="A181" s="23"/>
      <c r="B181" s="43"/>
      <c r="C181" s="43"/>
    </row>
    <row r="182">
      <c r="A182" s="23"/>
      <c r="B182" s="43"/>
      <c r="C182" s="43"/>
    </row>
    <row r="183">
      <c r="A183" s="23"/>
      <c r="B183" s="43"/>
      <c r="C183" s="43"/>
    </row>
    <row r="184">
      <c r="A184" s="23"/>
      <c r="B184" s="43"/>
      <c r="C184" s="43"/>
    </row>
    <row r="185">
      <c r="A185" s="23"/>
      <c r="B185" s="43"/>
      <c r="C185" s="43"/>
    </row>
    <row r="186">
      <c r="A186" s="23"/>
      <c r="B186" s="43"/>
      <c r="C186" s="43"/>
    </row>
    <row r="187">
      <c r="A187" s="23"/>
      <c r="B187" s="43"/>
      <c r="C187" s="43"/>
    </row>
    <row r="188">
      <c r="A188" s="23"/>
      <c r="B188" s="43"/>
      <c r="C188" s="43"/>
    </row>
    <row r="189">
      <c r="A189" s="23"/>
      <c r="B189" s="43"/>
      <c r="C189" s="43"/>
    </row>
    <row r="190">
      <c r="A190" s="23"/>
      <c r="B190" s="43"/>
      <c r="C190" s="43"/>
    </row>
    <row r="191">
      <c r="A191" s="23"/>
      <c r="B191" s="43"/>
      <c r="C191" s="43"/>
    </row>
    <row r="192">
      <c r="A192" s="23"/>
      <c r="B192" s="43"/>
      <c r="C192" s="43"/>
    </row>
    <row r="193">
      <c r="A193" s="23"/>
      <c r="B193" s="43"/>
      <c r="C193" s="43"/>
    </row>
    <row r="194">
      <c r="A194" s="23"/>
      <c r="B194" s="43"/>
      <c r="C194" s="43"/>
    </row>
    <row r="195">
      <c r="A195" s="23"/>
      <c r="B195" s="43"/>
      <c r="C195" s="43"/>
    </row>
    <row r="196">
      <c r="A196" s="23"/>
      <c r="B196" s="43"/>
      <c r="C196" s="43"/>
    </row>
    <row r="197">
      <c r="A197" s="23"/>
      <c r="B197" s="43"/>
      <c r="C197" s="43"/>
    </row>
    <row r="198">
      <c r="A198" s="23"/>
      <c r="B198" s="43"/>
      <c r="C198" s="43"/>
    </row>
    <row r="199">
      <c r="A199" s="23"/>
      <c r="B199" s="43"/>
      <c r="C199" s="43"/>
    </row>
    <row r="200">
      <c r="A200" s="23"/>
      <c r="B200" s="43"/>
      <c r="C200" s="43"/>
    </row>
    <row r="201">
      <c r="A201" s="23"/>
      <c r="B201" s="43"/>
      <c r="C201" s="43"/>
    </row>
    <row r="202">
      <c r="A202" s="23"/>
      <c r="B202" s="43"/>
      <c r="C202" s="43"/>
    </row>
    <row r="203">
      <c r="A203" s="23"/>
      <c r="B203" s="43"/>
      <c r="C203" s="43"/>
    </row>
    <row r="204">
      <c r="A204" s="23"/>
      <c r="B204" s="43"/>
      <c r="C204" s="43"/>
    </row>
    <row r="205">
      <c r="A205" s="23"/>
      <c r="B205" s="43"/>
      <c r="C205" s="43"/>
    </row>
    <row r="206">
      <c r="A206" s="23"/>
      <c r="B206" s="43"/>
      <c r="C206" s="43"/>
    </row>
    <row r="207">
      <c r="A207" s="23"/>
      <c r="B207" s="43"/>
      <c r="C207" s="43"/>
    </row>
    <row r="208">
      <c r="A208" s="23"/>
      <c r="B208" s="43"/>
      <c r="C208" s="43"/>
    </row>
    <row r="209">
      <c r="A209" s="23"/>
      <c r="B209" s="43"/>
      <c r="C209" s="43"/>
    </row>
    <row r="210">
      <c r="A210" s="23"/>
      <c r="B210" s="43"/>
      <c r="C210" s="43"/>
    </row>
    <row r="211">
      <c r="A211" s="23"/>
      <c r="B211" s="43"/>
      <c r="C211" s="43"/>
    </row>
    <row r="212">
      <c r="A212" s="23"/>
      <c r="B212" s="43"/>
      <c r="C212" s="43"/>
    </row>
    <row r="213">
      <c r="A213" s="23"/>
      <c r="B213" s="43"/>
      <c r="C213" s="43"/>
    </row>
    <row r="214">
      <c r="A214" s="23"/>
      <c r="B214" s="43"/>
      <c r="C214" s="43"/>
    </row>
    <row r="215">
      <c r="A215" s="23"/>
      <c r="B215" s="43"/>
      <c r="C215" s="43"/>
    </row>
    <row r="216">
      <c r="A216" s="23"/>
      <c r="B216" s="43"/>
      <c r="C216" s="43"/>
    </row>
    <row r="217">
      <c r="A217" s="23"/>
      <c r="B217" s="43"/>
      <c r="C217" s="43"/>
    </row>
    <row r="218">
      <c r="A218" s="23"/>
      <c r="B218" s="43"/>
      <c r="C218" s="43"/>
    </row>
    <row r="219">
      <c r="A219" s="23"/>
      <c r="B219" s="43"/>
      <c r="C219" s="43"/>
    </row>
    <row r="220">
      <c r="A220" s="23"/>
      <c r="B220" s="43"/>
      <c r="C220" s="43"/>
    </row>
    <row r="221">
      <c r="A221" s="23"/>
      <c r="B221" s="43"/>
      <c r="C221" s="43"/>
    </row>
    <row r="222">
      <c r="A222" s="23"/>
      <c r="B222" s="43"/>
      <c r="C222" s="43"/>
    </row>
    <row r="223">
      <c r="A223" s="23"/>
      <c r="B223" s="43"/>
      <c r="C223" s="43"/>
    </row>
    <row r="224">
      <c r="A224" s="23"/>
      <c r="B224" s="43"/>
      <c r="C224" s="43"/>
    </row>
    <row r="225">
      <c r="A225" s="23"/>
      <c r="B225" s="43"/>
      <c r="C225" s="43"/>
    </row>
    <row r="226">
      <c r="A226" s="23"/>
      <c r="B226" s="43"/>
      <c r="C226" s="43"/>
    </row>
    <row r="227">
      <c r="A227" s="23"/>
      <c r="B227" s="43"/>
      <c r="C227" s="43"/>
    </row>
    <row r="228">
      <c r="A228" s="23"/>
      <c r="B228" s="43"/>
      <c r="C228" s="43"/>
    </row>
    <row r="229">
      <c r="A229" s="23"/>
      <c r="B229" s="43"/>
      <c r="C229" s="43"/>
    </row>
    <row r="230">
      <c r="A230" s="23"/>
      <c r="B230" s="43"/>
      <c r="C230" s="43"/>
    </row>
    <row r="231">
      <c r="A231" s="23"/>
      <c r="B231" s="43"/>
      <c r="C231" s="43"/>
    </row>
    <row r="232">
      <c r="A232" s="23"/>
      <c r="B232" s="43"/>
      <c r="C232" s="43"/>
    </row>
    <row r="233">
      <c r="A233" s="23"/>
      <c r="B233" s="43"/>
      <c r="C233" s="43"/>
    </row>
    <row r="234">
      <c r="A234" s="23"/>
      <c r="B234" s="43"/>
      <c r="C234" s="43"/>
    </row>
    <row r="235">
      <c r="A235" s="23"/>
      <c r="B235" s="43"/>
      <c r="C235" s="43"/>
    </row>
    <row r="236">
      <c r="A236" s="23"/>
      <c r="B236" s="43"/>
      <c r="C236" s="43"/>
    </row>
    <row r="237">
      <c r="A237" s="23"/>
      <c r="B237" s="43"/>
      <c r="C237" s="43"/>
    </row>
    <row r="238">
      <c r="A238" s="23"/>
      <c r="B238" s="43"/>
      <c r="C238" s="43"/>
    </row>
    <row r="239">
      <c r="A239" s="23"/>
      <c r="B239" s="43"/>
      <c r="C239" s="43"/>
    </row>
    <row r="240">
      <c r="A240" s="23"/>
      <c r="B240" s="43"/>
      <c r="C240" s="43"/>
    </row>
    <row r="241">
      <c r="A241" s="23"/>
      <c r="B241" s="43"/>
      <c r="C241" s="43"/>
    </row>
    <row r="242">
      <c r="A242" s="23"/>
      <c r="B242" s="43"/>
      <c r="C242" s="43"/>
    </row>
    <row r="243">
      <c r="A243" s="23"/>
      <c r="B243" s="43"/>
      <c r="C243" s="43"/>
    </row>
    <row r="244">
      <c r="A244" s="23"/>
      <c r="B244" s="43"/>
      <c r="C244" s="43"/>
    </row>
    <row r="245">
      <c r="A245" s="23"/>
      <c r="B245" s="43"/>
      <c r="C245" s="43"/>
    </row>
    <row r="246">
      <c r="A246" s="23"/>
      <c r="B246" s="43"/>
      <c r="C246" s="43"/>
    </row>
    <row r="247">
      <c r="A247" s="23"/>
      <c r="B247" s="43"/>
      <c r="C247" s="43"/>
    </row>
    <row r="248">
      <c r="A248" s="23"/>
      <c r="B248" s="43"/>
      <c r="C248" s="43"/>
    </row>
    <row r="249">
      <c r="A249" s="23"/>
      <c r="B249" s="43"/>
      <c r="C249" s="43"/>
    </row>
    <row r="250">
      <c r="A250" s="23"/>
      <c r="B250" s="43"/>
      <c r="C250" s="43"/>
    </row>
    <row r="251">
      <c r="A251" s="23"/>
      <c r="B251" s="43"/>
      <c r="C251" s="43"/>
    </row>
    <row r="252">
      <c r="A252" s="23"/>
      <c r="B252" s="43"/>
      <c r="C252" s="43"/>
    </row>
    <row r="253">
      <c r="A253" s="23"/>
      <c r="B253" s="43"/>
      <c r="C253" s="43"/>
    </row>
    <row r="254">
      <c r="A254" s="23"/>
      <c r="B254" s="43"/>
      <c r="C254" s="43"/>
    </row>
    <row r="255">
      <c r="A255" s="23"/>
      <c r="B255" s="43"/>
      <c r="C255" s="43"/>
    </row>
    <row r="256">
      <c r="A256" s="23"/>
      <c r="B256" s="43"/>
      <c r="C256" s="43"/>
    </row>
    <row r="257">
      <c r="A257" s="23"/>
      <c r="B257" s="43"/>
      <c r="C257" s="43"/>
    </row>
    <row r="258">
      <c r="A258" s="23"/>
      <c r="B258" s="43"/>
      <c r="C258" s="43"/>
    </row>
    <row r="259">
      <c r="A259" s="23"/>
      <c r="B259" s="43"/>
      <c r="C259" s="43"/>
    </row>
    <row r="260">
      <c r="A260" s="23"/>
      <c r="B260" s="43"/>
      <c r="C260" s="43"/>
    </row>
    <row r="261">
      <c r="A261" s="23"/>
      <c r="B261" s="43"/>
      <c r="C261" s="43"/>
    </row>
    <row r="262">
      <c r="A262" s="23"/>
      <c r="B262" s="43"/>
      <c r="C262" s="43"/>
    </row>
    <row r="263">
      <c r="A263" s="23"/>
      <c r="B263" s="43"/>
      <c r="C263" s="43"/>
    </row>
    <row r="264">
      <c r="A264" s="23"/>
      <c r="B264" s="43"/>
      <c r="C264" s="43"/>
    </row>
    <row r="265">
      <c r="A265" s="23"/>
      <c r="B265" s="43"/>
      <c r="C265" s="43"/>
    </row>
    <row r="266">
      <c r="A266" s="23"/>
      <c r="B266" s="43"/>
      <c r="C266" s="43"/>
    </row>
    <row r="267">
      <c r="A267" s="23"/>
      <c r="B267" s="43"/>
      <c r="C267" s="43"/>
    </row>
    <row r="268">
      <c r="A268" s="23"/>
      <c r="B268" s="43"/>
      <c r="C268" s="43"/>
    </row>
    <row r="269">
      <c r="A269" s="23"/>
      <c r="B269" s="43"/>
      <c r="C269" s="43"/>
    </row>
    <row r="270">
      <c r="A270" s="23"/>
      <c r="B270" s="43"/>
      <c r="C270" s="43"/>
    </row>
    <row r="271">
      <c r="A271" s="23"/>
      <c r="B271" s="43"/>
      <c r="C271" s="43"/>
    </row>
    <row r="272">
      <c r="A272" s="23"/>
      <c r="B272" s="43"/>
      <c r="C272" s="43"/>
    </row>
    <row r="273">
      <c r="A273" s="23"/>
      <c r="B273" s="43"/>
      <c r="C273" s="43"/>
    </row>
    <row r="274">
      <c r="A274" s="23"/>
      <c r="B274" s="43"/>
      <c r="C274" s="43"/>
    </row>
    <row r="275">
      <c r="A275" s="23"/>
      <c r="B275" s="43"/>
      <c r="C275" s="43"/>
    </row>
    <row r="276">
      <c r="A276" s="23"/>
      <c r="B276" s="43"/>
      <c r="C276" s="43"/>
    </row>
    <row r="277">
      <c r="A277" s="23"/>
      <c r="B277" s="43"/>
      <c r="C277" s="43"/>
    </row>
    <row r="278">
      <c r="A278" s="23"/>
      <c r="B278" s="43"/>
      <c r="C278" s="43"/>
    </row>
    <row r="279">
      <c r="A279" s="23"/>
      <c r="B279" s="43"/>
      <c r="C279" s="43"/>
    </row>
    <row r="280">
      <c r="A280" s="23"/>
      <c r="B280" s="43"/>
      <c r="C280" s="43"/>
    </row>
    <row r="281">
      <c r="A281" s="23"/>
      <c r="B281" s="43"/>
      <c r="C281" s="43"/>
    </row>
    <row r="282">
      <c r="A282" s="23"/>
      <c r="B282" s="43"/>
      <c r="C282" s="43"/>
    </row>
    <row r="283">
      <c r="A283" s="23"/>
      <c r="B283" s="43"/>
      <c r="C283" s="43"/>
    </row>
    <row r="284">
      <c r="A284" s="23"/>
      <c r="B284" s="43"/>
      <c r="C284" s="43"/>
    </row>
    <row r="285">
      <c r="A285" s="23"/>
      <c r="B285" s="43"/>
      <c r="C285" s="43"/>
    </row>
    <row r="286">
      <c r="A286" s="23"/>
      <c r="B286" s="43"/>
      <c r="C286" s="43"/>
    </row>
    <row r="287">
      <c r="A287" s="23"/>
      <c r="B287" s="43"/>
      <c r="C287" s="43"/>
    </row>
    <row r="288">
      <c r="A288" s="23"/>
      <c r="B288" s="43"/>
      <c r="C288" s="43"/>
    </row>
    <row r="289">
      <c r="A289" s="23"/>
      <c r="B289" s="43"/>
      <c r="C289" s="43"/>
    </row>
    <row r="290">
      <c r="A290" s="23"/>
      <c r="B290" s="43"/>
      <c r="C290" s="43"/>
    </row>
    <row r="291">
      <c r="A291" s="23"/>
      <c r="B291" s="43"/>
      <c r="C291" s="43"/>
    </row>
    <row r="292">
      <c r="A292" s="23"/>
      <c r="B292" s="43"/>
      <c r="C292" s="43"/>
    </row>
    <row r="293">
      <c r="A293" s="23"/>
      <c r="B293" s="43"/>
      <c r="C293" s="43"/>
    </row>
    <row r="294">
      <c r="A294" s="23"/>
      <c r="B294" s="43"/>
      <c r="C294" s="43"/>
    </row>
    <row r="295">
      <c r="A295" s="23"/>
      <c r="B295" s="43"/>
      <c r="C295" s="43"/>
    </row>
    <row r="296">
      <c r="A296" s="23"/>
      <c r="B296" s="43"/>
      <c r="C296" s="43"/>
    </row>
    <row r="297">
      <c r="A297" s="23"/>
      <c r="B297" s="43"/>
      <c r="C297" s="43"/>
    </row>
    <row r="298">
      <c r="A298" s="23"/>
      <c r="B298" s="43"/>
      <c r="C298" s="43"/>
    </row>
    <row r="299">
      <c r="A299" s="23"/>
      <c r="B299" s="43"/>
      <c r="C299" s="43"/>
    </row>
    <row r="300">
      <c r="A300" s="23"/>
      <c r="B300" s="43"/>
      <c r="C300" s="43"/>
    </row>
    <row r="301">
      <c r="A301" s="23"/>
      <c r="B301" s="43"/>
      <c r="C301" s="43"/>
    </row>
    <row r="302">
      <c r="A302" s="23"/>
      <c r="B302" s="43"/>
      <c r="C302" s="43"/>
    </row>
    <row r="303">
      <c r="A303" s="23"/>
      <c r="B303" s="43"/>
      <c r="C303" s="43"/>
    </row>
    <row r="304">
      <c r="A304" s="23"/>
      <c r="B304" s="43"/>
      <c r="C304" s="43"/>
    </row>
    <row r="305">
      <c r="A305" s="23"/>
      <c r="B305" s="43"/>
      <c r="C305" s="43"/>
    </row>
    <row r="306">
      <c r="A306" s="23"/>
      <c r="B306" s="43"/>
      <c r="C306" s="43"/>
    </row>
    <row r="307">
      <c r="A307" s="23"/>
      <c r="B307" s="43"/>
      <c r="C307" s="43"/>
    </row>
    <row r="308">
      <c r="A308" s="23"/>
      <c r="B308" s="43"/>
      <c r="C308" s="43"/>
    </row>
    <row r="309">
      <c r="A309" s="23"/>
      <c r="B309" s="43"/>
      <c r="C309" s="43"/>
    </row>
    <row r="310">
      <c r="A310" s="23"/>
      <c r="B310" s="43"/>
      <c r="C310" s="43"/>
    </row>
    <row r="311">
      <c r="A311" s="23"/>
      <c r="B311" s="43"/>
      <c r="C311" s="43"/>
    </row>
    <row r="312">
      <c r="A312" s="23"/>
      <c r="B312" s="43"/>
      <c r="C312" s="43"/>
    </row>
    <row r="313">
      <c r="A313" s="23"/>
      <c r="B313" s="43"/>
      <c r="C313" s="43"/>
    </row>
    <row r="314">
      <c r="A314" s="23"/>
      <c r="B314" s="43"/>
      <c r="C314" s="43"/>
    </row>
    <row r="315">
      <c r="A315" s="23"/>
      <c r="B315" s="43"/>
      <c r="C315" s="43"/>
    </row>
    <row r="316">
      <c r="A316" s="23"/>
      <c r="B316" s="43"/>
      <c r="C316" s="43"/>
    </row>
    <row r="317">
      <c r="A317" s="23"/>
      <c r="B317" s="43"/>
      <c r="C317" s="43"/>
    </row>
    <row r="318">
      <c r="A318" s="23"/>
      <c r="B318" s="43"/>
      <c r="C318" s="43"/>
    </row>
    <row r="319">
      <c r="A319" s="23"/>
      <c r="B319" s="43"/>
      <c r="C319" s="43"/>
    </row>
    <row r="320">
      <c r="A320" s="23"/>
      <c r="B320" s="43"/>
      <c r="C320" s="43"/>
    </row>
    <row r="321">
      <c r="A321" s="23"/>
      <c r="B321" s="43"/>
      <c r="C321" s="43"/>
    </row>
    <row r="322">
      <c r="A322" s="23"/>
      <c r="B322" s="43"/>
      <c r="C322" s="43"/>
    </row>
    <row r="323">
      <c r="A323" s="23"/>
      <c r="B323" s="43"/>
      <c r="C323" s="43"/>
    </row>
    <row r="324">
      <c r="A324" s="23"/>
      <c r="B324" s="43"/>
      <c r="C324" s="43"/>
    </row>
    <row r="325">
      <c r="A325" s="23"/>
      <c r="B325" s="43"/>
      <c r="C325" s="43"/>
    </row>
    <row r="326">
      <c r="A326" s="23"/>
      <c r="B326" s="43"/>
      <c r="C326" s="43"/>
    </row>
    <row r="327">
      <c r="A327" s="23"/>
      <c r="B327" s="43"/>
      <c r="C327" s="43"/>
    </row>
    <row r="328">
      <c r="A328" s="23"/>
      <c r="B328" s="43"/>
      <c r="C328" s="43"/>
    </row>
    <row r="329">
      <c r="A329" s="23"/>
      <c r="B329" s="43"/>
      <c r="C329" s="43"/>
    </row>
    <row r="330">
      <c r="A330" s="23"/>
      <c r="B330" s="43"/>
      <c r="C330" s="43"/>
    </row>
    <row r="331">
      <c r="A331" s="23"/>
      <c r="B331" s="43"/>
      <c r="C331" s="43"/>
    </row>
    <row r="332">
      <c r="A332" s="23"/>
      <c r="B332" s="43"/>
      <c r="C332" s="43"/>
    </row>
    <row r="333">
      <c r="A333" s="23"/>
      <c r="B333" s="43"/>
      <c r="C333" s="43"/>
    </row>
    <row r="334">
      <c r="A334" s="23"/>
      <c r="B334" s="43"/>
      <c r="C334" s="43"/>
    </row>
    <row r="335">
      <c r="A335" s="23"/>
      <c r="B335" s="43"/>
      <c r="C335" s="43"/>
    </row>
    <row r="336">
      <c r="A336" s="23"/>
      <c r="B336" s="43"/>
      <c r="C336" s="43"/>
    </row>
    <row r="337">
      <c r="A337" s="23"/>
      <c r="B337" s="43"/>
      <c r="C337" s="43"/>
    </row>
    <row r="338">
      <c r="A338" s="23"/>
      <c r="B338" s="43"/>
      <c r="C338" s="43"/>
    </row>
    <row r="339">
      <c r="A339" s="23"/>
      <c r="B339" s="43"/>
      <c r="C339" s="43"/>
    </row>
    <row r="340">
      <c r="A340" s="23"/>
      <c r="B340" s="43"/>
      <c r="C340" s="43"/>
    </row>
    <row r="341">
      <c r="A341" s="23"/>
      <c r="B341" s="43"/>
      <c r="C341" s="43"/>
    </row>
    <row r="342">
      <c r="A342" s="23"/>
      <c r="B342" s="43"/>
      <c r="C342" s="43"/>
    </row>
    <row r="343">
      <c r="A343" s="23"/>
      <c r="B343" s="43"/>
      <c r="C343" s="43"/>
    </row>
    <row r="344">
      <c r="A344" s="23"/>
      <c r="B344" s="43"/>
      <c r="C344" s="43"/>
    </row>
    <row r="345">
      <c r="A345" s="23"/>
      <c r="B345" s="43"/>
      <c r="C345" s="43"/>
    </row>
    <row r="346">
      <c r="A346" s="23"/>
      <c r="B346" s="43"/>
      <c r="C346" s="43"/>
    </row>
    <row r="347">
      <c r="A347" s="23"/>
      <c r="B347" s="43"/>
      <c r="C347" s="43"/>
    </row>
    <row r="348">
      <c r="A348" s="23"/>
      <c r="B348" s="43"/>
      <c r="C348" s="43"/>
    </row>
    <row r="349">
      <c r="A349" s="23"/>
      <c r="B349" s="43"/>
      <c r="C349" s="43"/>
    </row>
    <row r="350">
      <c r="A350" s="23"/>
      <c r="B350" s="43"/>
      <c r="C350" s="43"/>
    </row>
    <row r="351">
      <c r="A351" s="23"/>
      <c r="B351" s="43"/>
      <c r="C351" s="43"/>
    </row>
    <row r="352">
      <c r="A352" s="23"/>
      <c r="B352" s="43"/>
      <c r="C352" s="43"/>
    </row>
    <row r="353">
      <c r="A353" s="23"/>
      <c r="B353" s="43"/>
      <c r="C353" s="43"/>
    </row>
    <row r="354">
      <c r="A354" s="23"/>
      <c r="B354" s="43"/>
      <c r="C354" s="43"/>
    </row>
    <row r="355">
      <c r="A355" s="23"/>
      <c r="B355" s="43"/>
      <c r="C355" s="43"/>
    </row>
    <row r="356">
      <c r="A356" s="23"/>
      <c r="B356" s="43"/>
      <c r="C356" s="43"/>
    </row>
    <row r="357">
      <c r="A357" s="23"/>
      <c r="B357" s="43"/>
      <c r="C357" s="43"/>
    </row>
    <row r="358">
      <c r="A358" s="23"/>
      <c r="B358" s="43"/>
      <c r="C358" s="43"/>
    </row>
    <row r="359">
      <c r="A359" s="23"/>
      <c r="B359" s="43"/>
      <c r="C359" s="43"/>
    </row>
    <row r="360">
      <c r="A360" s="23"/>
      <c r="B360" s="43"/>
      <c r="C360" s="43"/>
    </row>
    <row r="361">
      <c r="A361" s="23"/>
      <c r="B361" s="43"/>
      <c r="C361" s="43"/>
    </row>
    <row r="362">
      <c r="A362" s="23"/>
      <c r="B362" s="43"/>
      <c r="C362" s="43"/>
    </row>
    <row r="363">
      <c r="A363" s="23"/>
      <c r="B363" s="43"/>
      <c r="C363" s="43"/>
    </row>
    <row r="364">
      <c r="A364" s="23"/>
      <c r="B364" s="43"/>
      <c r="C364" s="43"/>
    </row>
    <row r="365">
      <c r="A365" s="23"/>
      <c r="B365" s="43"/>
      <c r="C365" s="43"/>
    </row>
    <row r="366">
      <c r="A366" s="23"/>
      <c r="B366" s="43"/>
      <c r="C366" s="43"/>
    </row>
    <row r="367">
      <c r="A367" s="23"/>
      <c r="B367" s="43"/>
      <c r="C367" s="43"/>
    </row>
    <row r="368">
      <c r="A368" s="23"/>
      <c r="B368" s="43"/>
      <c r="C368" s="43"/>
    </row>
    <row r="369">
      <c r="A369" s="23"/>
      <c r="B369" s="43"/>
      <c r="C369" s="43"/>
    </row>
    <row r="370">
      <c r="A370" s="23"/>
      <c r="B370" s="43"/>
      <c r="C370" s="43"/>
    </row>
    <row r="371">
      <c r="A371" s="23"/>
      <c r="B371" s="43"/>
      <c r="C371" s="43"/>
    </row>
    <row r="372">
      <c r="A372" s="23"/>
      <c r="B372" s="43"/>
      <c r="C372" s="43"/>
    </row>
    <row r="373">
      <c r="A373" s="23"/>
      <c r="B373" s="43"/>
      <c r="C373" s="43"/>
    </row>
    <row r="374">
      <c r="A374" s="23"/>
      <c r="B374" s="43"/>
      <c r="C374" s="43"/>
    </row>
    <row r="375">
      <c r="A375" s="23"/>
      <c r="B375" s="43"/>
      <c r="C375" s="43"/>
    </row>
    <row r="376">
      <c r="A376" s="23"/>
      <c r="B376" s="43"/>
      <c r="C376" s="43"/>
    </row>
    <row r="377">
      <c r="A377" s="23"/>
      <c r="B377" s="43"/>
      <c r="C377" s="43"/>
    </row>
    <row r="378">
      <c r="A378" s="23"/>
      <c r="B378" s="43"/>
      <c r="C378" s="43"/>
    </row>
    <row r="379">
      <c r="A379" s="23"/>
      <c r="B379" s="43"/>
      <c r="C379" s="43"/>
    </row>
    <row r="380">
      <c r="A380" s="23"/>
      <c r="B380" s="43"/>
      <c r="C380" s="43"/>
    </row>
    <row r="381">
      <c r="A381" s="23"/>
      <c r="B381" s="43"/>
      <c r="C381" s="43"/>
    </row>
    <row r="382">
      <c r="A382" s="23"/>
      <c r="B382" s="43"/>
      <c r="C382" s="43"/>
    </row>
    <row r="383">
      <c r="A383" s="23"/>
      <c r="B383" s="43"/>
      <c r="C383" s="43"/>
    </row>
    <row r="384">
      <c r="A384" s="23"/>
      <c r="B384" s="43"/>
      <c r="C384" s="43"/>
    </row>
    <row r="385">
      <c r="A385" s="23"/>
      <c r="B385" s="43"/>
      <c r="C385" s="43"/>
    </row>
    <row r="386">
      <c r="A386" s="23"/>
      <c r="B386" s="43"/>
      <c r="C386" s="43"/>
    </row>
    <row r="387">
      <c r="A387" s="23"/>
      <c r="B387" s="43"/>
      <c r="C387" s="43"/>
    </row>
    <row r="388">
      <c r="A388" s="23"/>
      <c r="B388" s="43"/>
      <c r="C388" s="43"/>
    </row>
    <row r="389">
      <c r="A389" s="23"/>
      <c r="B389" s="43"/>
      <c r="C389" s="43"/>
    </row>
    <row r="390">
      <c r="A390" s="23"/>
      <c r="B390" s="43"/>
      <c r="C390" s="43"/>
    </row>
    <row r="391">
      <c r="A391" s="23"/>
      <c r="B391" s="43"/>
      <c r="C391" s="43"/>
    </row>
    <row r="392">
      <c r="A392" s="23"/>
      <c r="B392" s="43"/>
      <c r="C392" s="43"/>
    </row>
    <row r="393">
      <c r="A393" s="23"/>
      <c r="B393" s="43"/>
      <c r="C393" s="43"/>
    </row>
    <row r="394">
      <c r="A394" s="23"/>
      <c r="B394" s="43"/>
      <c r="C394" s="43"/>
    </row>
    <row r="395">
      <c r="A395" s="23"/>
      <c r="B395" s="43"/>
      <c r="C395" s="43"/>
    </row>
    <row r="396">
      <c r="A396" s="23"/>
      <c r="B396" s="43"/>
      <c r="C396" s="43"/>
    </row>
    <row r="397">
      <c r="A397" s="23"/>
      <c r="B397" s="43"/>
      <c r="C397" s="43"/>
    </row>
    <row r="398">
      <c r="A398" s="23"/>
      <c r="B398" s="43"/>
      <c r="C398" s="43"/>
    </row>
    <row r="399">
      <c r="A399" s="23"/>
      <c r="B399" s="43"/>
      <c r="C399" s="43"/>
    </row>
    <row r="400">
      <c r="A400" s="23"/>
      <c r="B400" s="43"/>
      <c r="C400" s="43"/>
    </row>
    <row r="401">
      <c r="A401" s="23"/>
      <c r="B401" s="43"/>
      <c r="C401" s="43"/>
    </row>
    <row r="402">
      <c r="A402" s="23"/>
      <c r="B402" s="43"/>
      <c r="C402" s="43"/>
    </row>
    <row r="403">
      <c r="A403" s="23"/>
      <c r="B403" s="43"/>
      <c r="C403" s="43"/>
    </row>
    <row r="404">
      <c r="A404" s="23"/>
      <c r="B404" s="43"/>
      <c r="C404" s="43"/>
    </row>
    <row r="405">
      <c r="A405" s="23"/>
      <c r="B405" s="43"/>
      <c r="C405" s="43"/>
    </row>
    <row r="406">
      <c r="A406" s="23"/>
      <c r="B406" s="43"/>
      <c r="C406" s="43"/>
    </row>
    <row r="407">
      <c r="A407" s="23"/>
      <c r="B407" s="43"/>
      <c r="C407" s="43"/>
    </row>
    <row r="408">
      <c r="A408" s="23"/>
      <c r="B408" s="43"/>
      <c r="C408" s="43"/>
    </row>
    <row r="409">
      <c r="A409" s="23"/>
      <c r="B409" s="43"/>
      <c r="C409" s="43"/>
    </row>
    <row r="410">
      <c r="A410" s="23"/>
      <c r="B410" s="43"/>
      <c r="C410" s="43"/>
    </row>
    <row r="411">
      <c r="A411" s="23"/>
      <c r="B411" s="43"/>
      <c r="C411" s="43"/>
    </row>
    <row r="412">
      <c r="A412" s="23"/>
      <c r="B412" s="43"/>
      <c r="C412" s="43"/>
    </row>
    <row r="413">
      <c r="A413" s="23"/>
      <c r="B413" s="43"/>
      <c r="C413" s="43"/>
    </row>
    <row r="414">
      <c r="A414" s="23"/>
      <c r="B414" s="43"/>
      <c r="C414" s="43"/>
    </row>
    <row r="415">
      <c r="A415" s="23"/>
      <c r="B415" s="43"/>
      <c r="C415" s="43"/>
    </row>
    <row r="416">
      <c r="A416" s="23"/>
      <c r="B416" s="43"/>
      <c r="C416" s="43"/>
    </row>
    <row r="417">
      <c r="A417" s="23"/>
      <c r="B417" s="43"/>
      <c r="C417" s="43"/>
    </row>
    <row r="418">
      <c r="A418" s="23"/>
      <c r="B418" s="43"/>
      <c r="C418" s="43"/>
    </row>
    <row r="419">
      <c r="A419" s="23"/>
      <c r="B419" s="43"/>
      <c r="C419" s="43"/>
    </row>
    <row r="420">
      <c r="A420" s="23"/>
      <c r="B420" s="43"/>
      <c r="C420" s="43"/>
    </row>
    <row r="421">
      <c r="A421" s="23"/>
      <c r="B421" s="43"/>
      <c r="C421" s="43"/>
    </row>
    <row r="422">
      <c r="A422" s="23"/>
      <c r="B422" s="43"/>
      <c r="C422" s="43"/>
    </row>
    <row r="423">
      <c r="A423" s="23"/>
      <c r="B423" s="43"/>
      <c r="C423" s="43"/>
    </row>
    <row r="424">
      <c r="A424" s="23"/>
      <c r="B424" s="43"/>
      <c r="C424" s="43"/>
    </row>
    <row r="425">
      <c r="A425" s="23"/>
      <c r="B425" s="43"/>
      <c r="C425" s="43"/>
    </row>
    <row r="426">
      <c r="A426" s="23"/>
      <c r="B426" s="43"/>
      <c r="C426" s="43"/>
    </row>
    <row r="427">
      <c r="A427" s="23"/>
      <c r="B427" s="43"/>
      <c r="C427" s="43"/>
    </row>
    <row r="428">
      <c r="A428" s="23"/>
      <c r="B428" s="43"/>
      <c r="C428" s="43"/>
    </row>
    <row r="429">
      <c r="A429" s="23"/>
      <c r="B429" s="43"/>
      <c r="C429" s="43"/>
    </row>
    <row r="430">
      <c r="A430" s="23"/>
      <c r="B430" s="43"/>
      <c r="C430" s="43"/>
    </row>
    <row r="431">
      <c r="A431" s="23"/>
      <c r="B431" s="43"/>
      <c r="C431" s="43"/>
    </row>
    <row r="432">
      <c r="A432" s="23"/>
      <c r="B432" s="43"/>
      <c r="C432" s="43"/>
    </row>
    <row r="433">
      <c r="A433" s="23"/>
      <c r="B433" s="43"/>
      <c r="C433" s="43"/>
    </row>
    <row r="434">
      <c r="A434" s="23"/>
      <c r="B434" s="43"/>
      <c r="C434" s="43"/>
    </row>
    <row r="435">
      <c r="A435" s="23"/>
      <c r="B435" s="43"/>
      <c r="C435" s="43"/>
    </row>
    <row r="436">
      <c r="A436" s="23"/>
      <c r="B436" s="43"/>
      <c r="C436" s="43"/>
    </row>
    <row r="437">
      <c r="A437" s="23"/>
      <c r="B437" s="43"/>
      <c r="C437" s="43"/>
    </row>
    <row r="438">
      <c r="A438" s="23"/>
      <c r="B438" s="43"/>
      <c r="C438" s="43"/>
    </row>
    <row r="439">
      <c r="A439" s="23"/>
      <c r="B439" s="43"/>
      <c r="C439" s="43"/>
    </row>
    <row r="440">
      <c r="A440" s="23"/>
      <c r="B440" s="43"/>
      <c r="C440" s="43"/>
    </row>
    <row r="441">
      <c r="A441" s="23"/>
      <c r="B441" s="43"/>
      <c r="C441" s="43"/>
    </row>
    <row r="442">
      <c r="A442" s="23"/>
      <c r="B442" s="43"/>
      <c r="C442" s="43"/>
    </row>
    <row r="443">
      <c r="A443" s="23"/>
      <c r="B443" s="43"/>
      <c r="C443" s="43"/>
    </row>
    <row r="444">
      <c r="A444" s="23"/>
      <c r="B444" s="43"/>
      <c r="C444" s="43"/>
    </row>
    <row r="445">
      <c r="A445" s="23"/>
      <c r="B445" s="43"/>
      <c r="C445" s="43"/>
    </row>
    <row r="446">
      <c r="A446" s="23"/>
      <c r="B446" s="43"/>
      <c r="C446" s="43"/>
    </row>
    <row r="447">
      <c r="A447" s="23"/>
      <c r="B447" s="43"/>
      <c r="C447" s="43"/>
    </row>
    <row r="448">
      <c r="A448" s="23"/>
      <c r="B448" s="43"/>
      <c r="C448" s="43"/>
    </row>
    <row r="449">
      <c r="A449" s="23"/>
      <c r="B449" s="43"/>
      <c r="C449" s="43"/>
    </row>
    <row r="450">
      <c r="A450" s="23"/>
      <c r="B450" s="43"/>
      <c r="C450" s="43"/>
    </row>
    <row r="451">
      <c r="A451" s="23"/>
      <c r="B451" s="43"/>
      <c r="C451" s="43"/>
    </row>
    <row r="452">
      <c r="A452" s="23"/>
      <c r="B452" s="43"/>
      <c r="C452" s="43"/>
    </row>
    <row r="453">
      <c r="A453" s="23"/>
      <c r="B453" s="43"/>
      <c r="C453" s="43"/>
    </row>
    <row r="454">
      <c r="A454" s="23"/>
      <c r="B454" s="43"/>
      <c r="C454" s="43"/>
    </row>
    <row r="455">
      <c r="A455" s="23"/>
      <c r="B455" s="43"/>
      <c r="C455" s="43"/>
    </row>
    <row r="456">
      <c r="A456" s="23"/>
      <c r="B456" s="43"/>
      <c r="C456" s="43"/>
    </row>
    <row r="457">
      <c r="A457" s="23"/>
      <c r="B457" s="43"/>
      <c r="C457" s="43"/>
    </row>
    <row r="458">
      <c r="A458" s="23"/>
      <c r="B458" s="43"/>
      <c r="C458" s="43"/>
    </row>
    <row r="459">
      <c r="A459" s="23"/>
      <c r="B459" s="43"/>
      <c r="C459" s="43"/>
    </row>
    <row r="460">
      <c r="A460" s="23"/>
      <c r="B460" s="43"/>
      <c r="C460" s="43"/>
    </row>
    <row r="461">
      <c r="A461" s="23"/>
      <c r="B461" s="43"/>
      <c r="C461" s="43"/>
    </row>
    <row r="462">
      <c r="A462" s="23"/>
      <c r="B462" s="43"/>
      <c r="C462" s="43"/>
    </row>
    <row r="463">
      <c r="A463" s="23"/>
      <c r="B463" s="43"/>
      <c r="C463" s="43"/>
    </row>
    <row r="464">
      <c r="A464" s="23"/>
      <c r="B464" s="43"/>
      <c r="C464" s="43"/>
    </row>
    <row r="465">
      <c r="A465" s="23"/>
      <c r="B465" s="43"/>
      <c r="C465" s="43"/>
    </row>
    <row r="466">
      <c r="A466" s="23"/>
      <c r="B466" s="43"/>
      <c r="C466" s="43"/>
    </row>
    <row r="467">
      <c r="A467" s="23"/>
      <c r="B467" s="43"/>
      <c r="C467" s="43"/>
    </row>
    <row r="468">
      <c r="A468" s="23"/>
      <c r="B468" s="43"/>
      <c r="C468" s="43"/>
    </row>
    <row r="469">
      <c r="A469" s="23"/>
      <c r="B469" s="43"/>
      <c r="C469" s="43"/>
    </row>
    <row r="470">
      <c r="A470" s="23"/>
      <c r="B470" s="43"/>
      <c r="C470" s="43"/>
    </row>
    <row r="471">
      <c r="A471" s="23"/>
      <c r="B471" s="43"/>
      <c r="C471" s="43"/>
    </row>
    <row r="472">
      <c r="A472" s="23"/>
      <c r="B472" s="43"/>
      <c r="C472" s="43"/>
    </row>
    <row r="473">
      <c r="A473" s="23"/>
      <c r="B473" s="43"/>
      <c r="C473" s="43"/>
    </row>
    <row r="474">
      <c r="A474" s="23"/>
      <c r="B474" s="43"/>
      <c r="C474" s="43"/>
    </row>
    <row r="475">
      <c r="A475" s="23"/>
      <c r="B475" s="43"/>
      <c r="C475" s="43"/>
    </row>
    <row r="476">
      <c r="A476" s="23"/>
      <c r="B476" s="43"/>
      <c r="C476" s="43"/>
    </row>
    <row r="477">
      <c r="A477" s="23"/>
      <c r="B477" s="43"/>
      <c r="C477" s="43"/>
    </row>
    <row r="478">
      <c r="A478" s="23"/>
      <c r="B478" s="43"/>
      <c r="C478" s="43"/>
    </row>
    <row r="479">
      <c r="A479" s="23"/>
      <c r="B479" s="43"/>
      <c r="C479" s="43"/>
    </row>
    <row r="480">
      <c r="A480" s="23"/>
      <c r="B480" s="43"/>
      <c r="C480" s="43"/>
    </row>
    <row r="481">
      <c r="A481" s="23"/>
      <c r="B481" s="43"/>
      <c r="C481" s="43"/>
    </row>
    <row r="482">
      <c r="A482" s="23"/>
      <c r="B482" s="43"/>
      <c r="C482" s="43"/>
    </row>
    <row r="483">
      <c r="A483" s="23"/>
      <c r="B483" s="43"/>
      <c r="C483" s="43"/>
    </row>
    <row r="484">
      <c r="A484" s="23"/>
      <c r="B484" s="43"/>
      <c r="C484" s="43"/>
    </row>
    <row r="485">
      <c r="A485" s="23"/>
      <c r="B485" s="43"/>
      <c r="C485" s="43"/>
    </row>
    <row r="486">
      <c r="A486" s="23"/>
      <c r="B486" s="43"/>
      <c r="C486" s="43"/>
    </row>
    <row r="487">
      <c r="A487" s="23"/>
      <c r="B487" s="43"/>
      <c r="C487" s="43"/>
    </row>
    <row r="488">
      <c r="A488" s="23"/>
      <c r="B488" s="43"/>
      <c r="C488" s="43"/>
    </row>
    <row r="489">
      <c r="A489" s="23"/>
      <c r="B489" s="43"/>
      <c r="C489" s="43"/>
    </row>
    <row r="490">
      <c r="A490" s="23"/>
      <c r="B490" s="43"/>
      <c r="C490" s="43"/>
    </row>
    <row r="491">
      <c r="A491" s="23"/>
      <c r="B491" s="43"/>
      <c r="C491" s="43"/>
    </row>
    <row r="492">
      <c r="A492" s="23"/>
      <c r="B492" s="43"/>
      <c r="C492" s="43"/>
    </row>
    <row r="493">
      <c r="A493" s="23"/>
      <c r="B493" s="43"/>
      <c r="C493" s="43"/>
    </row>
    <row r="494">
      <c r="A494" s="23"/>
      <c r="B494" s="43"/>
      <c r="C494" s="43"/>
    </row>
    <row r="495">
      <c r="A495" s="23"/>
      <c r="B495" s="43"/>
      <c r="C495" s="43"/>
    </row>
    <row r="496">
      <c r="A496" s="23"/>
      <c r="B496" s="43"/>
      <c r="C496" s="43"/>
    </row>
    <row r="497">
      <c r="A497" s="23"/>
      <c r="B497" s="43"/>
      <c r="C497" s="43"/>
    </row>
    <row r="498">
      <c r="A498" s="23"/>
      <c r="B498" s="43"/>
      <c r="C498" s="43"/>
    </row>
    <row r="499">
      <c r="A499" s="23"/>
      <c r="B499" s="43"/>
      <c r="C499" s="43"/>
    </row>
    <row r="500">
      <c r="A500" s="23"/>
      <c r="B500" s="43"/>
      <c r="C500" s="43"/>
    </row>
    <row r="501">
      <c r="A501" s="23"/>
      <c r="B501" s="43"/>
      <c r="C501" s="43"/>
    </row>
    <row r="502">
      <c r="A502" s="23"/>
      <c r="B502" s="43"/>
      <c r="C502" s="43"/>
    </row>
    <row r="503">
      <c r="A503" s="23"/>
      <c r="B503" s="43"/>
      <c r="C503" s="43"/>
    </row>
    <row r="504">
      <c r="A504" s="23"/>
      <c r="B504" s="43"/>
      <c r="C504" s="43"/>
    </row>
    <row r="505">
      <c r="A505" s="23"/>
      <c r="B505" s="43"/>
      <c r="C505" s="43"/>
    </row>
    <row r="506">
      <c r="A506" s="23"/>
      <c r="B506" s="43"/>
      <c r="C506" s="43"/>
    </row>
    <row r="507">
      <c r="A507" s="23"/>
      <c r="B507" s="43"/>
      <c r="C507" s="43"/>
    </row>
    <row r="508">
      <c r="A508" s="23"/>
      <c r="B508" s="43"/>
      <c r="C508" s="43"/>
    </row>
    <row r="509">
      <c r="A509" s="23"/>
      <c r="B509" s="43"/>
      <c r="C509" s="43"/>
    </row>
    <row r="510">
      <c r="A510" s="23"/>
      <c r="B510" s="43"/>
      <c r="C510" s="43"/>
    </row>
    <row r="511">
      <c r="A511" s="23"/>
      <c r="B511" s="43"/>
      <c r="C511" s="43"/>
    </row>
    <row r="512">
      <c r="A512" s="23"/>
      <c r="B512" s="43"/>
      <c r="C512" s="43"/>
    </row>
    <row r="513">
      <c r="A513" s="23"/>
      <c r="B513" s="43"/>
      <c r="C513" s="43"/>
    </row>
    <row r="514">
      <c r="A514" s="23"/>
      <c r="B514" s="43"/>
      <c r="C514" s="43"/>
    </row>
    <row r="515">
      <c r="A515" s="23"/>
      <c r="B515" s="43"/>
      <c r="C515" s="43"/>
    </row>
    <row r="516">
      <c r="A516" s="23"/>
      <c r="B516" s="43"/>
      <c r="C516" s="43"/>
    </row>
    <row r="517">
      <c r="A517" s="23"/>
      <c r="B517" s="43"/>
      <c r="C517" s="43"/>
    </row>
    <row r="518">
      <c r="A518" s="23"/>
      <c r="B518" s="43"/>
      <c r="C518" s="43"/>
    </row>
    <row r="519">
      <c r="A519" s="23"/>
      <c r="B519" s="43"/>
      <c r="C519" s="43"/>
    </row>
    <row r="520">
      <c r="A520" s="23"/>
      <c r="B520" s="43"/>
      <c r="C520" s="43"/>
    </row>
    <row r="521">
      <c r="A521" s="23"/>
      <c r="B521" s="43"/>
      <c r="C521" s="43"/>
    </row>
    <row r="522">
      <c r="A522" s="23"/>
      <c r="B522" s="43"/>
      <c r="C522" s="43"/>
    </row>
    <row r="523">
      <c r="A523" s="23"/>
      <c r="B523" s="43"/>
      <c r="C523" s="43"/>
    </row>
    <row r="524">
      <c r="A524" s="23"/>
      <c r="B524" s="43"/>
      <c r="C524" s="43"/>
    </row>
    <row r="525">
      <c r="A525" s="23"/>
      <c r="B525" s="43"/>
      <c r="C525" s="43"/>
    </row>
    <row r="526">
      <c r="A526" s="23"/>
      <c r="B526" s="43"/>
      <c r="C526" s="43"/>
    </row>
    <row r="527">
      <c r="A527" s="23"/>
      <c r="B527" s="43"/>
      <c r="C527" s="43"/>
    </row>
    <row r="528">
      <c r="A528" s="23"/>
      <c r="B528" s="43"/>
      <c r="C528" s="43"/>
    </row>
    <row r="529">
      <c r="A529" s="23"/>
      <c r="B529" s="43"/>
      <c r="C529" s="43"/>
    </row>
    <row r="530">
      <c r="A530" s="23"/>
      <c r="B530" s="43"/>
      <c r="C530" s="43"/>
    </row>
    <row r="531">
      <c r="A531" s="23"/>
      <c r="B531" s="43"/>
      <c r="C531" s="43"/>
    </row>
    <row r="532">
      <c r="A532" s="23"/>
      <c r="B532" s="43"/>
      <c r="C532" s="43"/>
    </row>
    <row r="533">
      <c r="A533" s="23"/>
      <c r="B533" s="43"/>
      <c r="C533" s="43"/>
    </row>
    <row r="534">
      <c r="A534" s="23"/>
      <c r="B534" s="43"/>
      <c r="C534" s="43"/>
    </row>
    <row r="535">
      <c r="A535" s="23"/>
      <c r="B535" s="43"/>
      <c r="C535" s="43"/>
    </row>
    <row r="536">
      <c r="A536" s="23"/>
      <c r="B536" s="43"/>
      <c r="C536" s="43"/>
    </row>
    <row r="537">
      <c r="A537" s="23"/>
      <c r="B537" s="43"/>
      <c r="C537" s="43"/>
    </row>
    <row r="538">
      <c r="A538" s="23"/>
      <c r="B538" s="43"/>
      <c r="C538" s="43"/>
    </row>
    <row r="539">
      <c r="A539" s="23"/>
      <c r="B539" s="43"/>
      <c r="C539" s="43"/>
    </row>
    <row r="540">
      <c r="A540" s="23"/>
      <c r="B540" s="43"/>
      <c r="C540" s="43"/>
    </row>
    <row r="541">
      <c r="A541" s="23"/>
      <c r="B541" s="43"/>
      <c r="C541" s="43"/>
    </row>
    <row r="542">
      <c r="A542" s="23"/>
      <c r="B542" s="43"/>
      <c r="C542" s="43"/>
    </row>
    <row r="543">
      <c r="A543" s="23"/>
      <c r="B543" s="43"/>
      <c r="C543" s="43"/>
    </row>
    <row r="544">
      <c r="A544" s="23"/>
      <c r="B544" s="43"/>
      <c r="C544" s="43"/>
    </row>
    <row r="545">
      <c r="A545" s="23"/>
      <c r="B545" s="43"/>
      <c r="C545" s="43"/>
    </row>
    <row r="546">
      <c r="A546" s="23"/>
      <c r="B546" s="43"/>
      <c r="C546" s="43"/>
    </row>
    <row r="547">
      <c r="A547" s="23"/>
      <c r="B547" s="43"/>
      <c r="C547" s="43"/>
    </row>
    <row r="548">
      <c r="A548" s="23"/>
      <c r="B548" s="43"/>
      <c r="C548" s="43"/>
    </row>
    <row r="549">
      <c r="A549" s="23"/>
      <c r="B549" s="43"/>
      <c r="C549" s="43"/>
    </row>
    <row r="550">
      <c r="A550" s="23"/>
      <c r="B550" s="43"/>
      <c r="C550" s="43"/>
    </row>
    <row r="551">
      <c r="A551" s="23"/>
      <c r="B551" s="43"/>
      <c r="C551" s="43"/>
    </row>
    <row r="552">
      <c r="A552" s="23"/>
      <c r="B552" s="43"/>
      <c r="C552" s="43"/>
    </row>
    <row r="553">
      <c r="A553" s="23"/>
      <c r="B553" s="43"/>
      <c r="C553" s="43"/>
    </row>
    <row r="554">
      <c r="A554" s="23"/>
      <c r="B554" s="43"/>
      <c r="C554" s="43"/>
    </row>
    <row r="555">
      <c r="A555" s="23"/>
      <c r="B555" s="43"/>
      <c r="C555" s="43"/>
    </row>
    <row r="556">
      <c r="A556" s="23"/>
      <c r="B556" s="43"/>
      <c r="C556" s="43"/>
    </row>
    <row r="557">
      <c r="A557" s="23"/>
      <c r="B557" s="43"/>
      <c r="C557" s="43"/>
    </row>
    <row r="558">
      <c r="A558" s="23"/>
      <c r="B558" s="43"/>
      <c r="C558" s="43"/>
    </row>
    <row r="559">
      <c r="A559" s="23"/>
      <c r="B559" s="43"/>
      <c r="C559" s="43"/>
    </row>
    <row r="560">
      <c r="A560" s="23"/>
      <c r="B560" s="43"/>
      <c r="C560" s="43"/>
    </row>
    <row r="561">
      <c r="A561" s="23"/>
      <c r="B561" s="43"/>
      <c r="C561" s="43"/>
    </row>
    <row r="562">
      <c r="A562" s="23"/>
      <c r="B562" s="43"/>
      <c r="C562" s="43"/>
    </row>
    <row r="563">
      <c r="A563" s="23"/>
      <c r="B563" s="43"/>
      <c r="C563" s="43"/>
    </row>
    <row r="564">
      <c r="A564" s="23"/>
      <c r="B564" s="43"/>
      <c r="C564" s="43"/>
    </row>
    <row r="565">
      <c r="A565" s="23"/>
      <c r="B565" s="43"/>
      <c r="C565" s="43"/>
    </row>
    <row r="566">
      <c r="A566" s="23"/>
      <c r="B566" s="43"/>
      <c r="C566" s="43"/>
    </row>
    <row r="567">
      <c r="A567" s="23"/>
      <c r="B567" s="43"/>
      <c r="C567" s="43"/>
    </row>
    <row r="568">
      <c r="A568" s="23"/>
      <c r="B568" s="43"/>
      <c r="C568" s="43"/>
    </row>
    <row r="569">
      <c r="A569" s="23"/>
      <c r="B569" s="43"/>
      <c r="C569" s="43"/>
    </row>
    <row r="570">
      <c r="A570" s="23"/>
      <c r="B570" s="43"/>
      <c r="C570" s="43"/>
    </row>
    <row r="571">
      <c r="A571" s="23"/>
      <c r="B571" s="43"/>
      <c r="C571" s="43"/>
    </row>
    <row r="572">
      <c r="A572" s="23"/>
      <c r="B572" s="43"/>
      <c r="C572" s="43"/>
    </row>
    <row r="573">
      <c r="A573" s="23"/>
      <c r="B573" s="43"/>
      <c r="C573" s="43"/>
    </row>
    <row r="574">
      <c r="A574" s="23"/>
      <c r="B574" s="43"/>
      <c r="C574" s="43"/>
    </row>
    <row r="575">
      <c r="A575" s="23"/>
      <c r="B575" s="43"/>
      <c r="C575" s="43"/>
    </row>
    <row r="576">
      <c r="A576" s="23"/>
      <c r="B576" s="43"/>
      <c r="C576" s="43"/>
    </row>
    <row r="577">
      <c r="A577" s="23"/>
      <c r="B577" s="43"/>
      <c r="C577" s="43"/>
    </row>
    <row r="578">
      <c r="A578" s="23"/>
      <c r="B578" s="43"/>
      <c r="C578" s="43"/>
    </row>
    <row r="579">
      <c r="A579" s="23"/>
      <c r="B579" s="43"/>
      <c r="C579" s="43"/>
    </row>
    <row r="580">
      <c r="A580" s="23"/>
      <c r="B580" s="43"/>
      <c r="C580" s="43"/>
    </row>
    <row r="581">
      <c r="A581" s="23"/>
      <c r="B581" s="43"/>
      <c r="C581" s="43"/>
    </row>
    <row r="582">
      <c r="A582" s="23"/>
      <c r="B582" s="43"/>
      <c r="C582" s="43"/>
    </row>
    <row r="583">
      <c r="A583" s="23"/>
      <c r="B583" s="43"/>
      <c r="C583" s="43"/>
    </row>
    <row r="584">
      <c r="A584" s="23"/>
      <c r="B584" s="43"/>
      <c r="C584" s="43"/>
    </row>
    <row r="585">
      <c r="A585" s="23"/>
      <c r="B585" s="43"/>
      <c r="C585" s="43"/>
    </row>
    <row r="586">
      <c r="A586" s="23"/>
      <c r="B586" s="43"/>
      <c r="C586" s="43"/>
    </row>
    <row r="587">
      <c r="A587" s="23"/>
      <c r="B587" s="43"/>
      <c r="C587" s="43"/>
    </row>
    <row r="588">
      <c r="A588" s="23"/>
      <c r="B588" s="43"/>
      <c r="C588" s="43"/>
    </row>
    <row r="589">
      <c r="A589" s="23"/>
      <c r="B589" s="43"/>
      <c r="C589" s="43"/>
    </row>
    <row r="590">
      <c r="A590" s="23"/>
      <c r="B590" s="43"/>
      <c r="C590" s="43"/>
    </row>
    <row r="591">
      <c r="A591" s="23"/>
      <c r="B591" s="43"/>
      <c r="C591" s="43"/>
    </row>
    <row r="592">
      <c r="A592" s="23"/>
      <c r="B592" s="43"/>
      <c r="C592" s="43"/>
    </row>
    <row r="593">
      <c r="A593" s="23"/>
      <c r="B593" s="43"/>
      <c r="C593" s="43"/>
    </row>
    <row r="594">
      <c r="A594" s="23"/>
      <c r="B594" s="43"/>
      <c r="C594" s="43"/>
    </row>
    <row r="595">
      <c r="A595" s="23"/>
      <c r="B595" s="43"/>
      <c r="C595" s="43"/>
    </row>
    <row r="596">
      <c r="A596" s="23"/>
      <c r="B596" s="43"/>
      <c r="C596" s="43"/>
    </row>
    <row r="597">
      <c r="A597" s="23"/>
      <c r="B597" s="43"/>
      <c r="C597" s="43"/>
    </row>
    <row r="598">
      <c r="A598" s="23"/>
      <c r="B598" s="43"/>
      <c r="C598" s="43"/>
    </row>
    <row r="599">
      <c r="A599" s="23"/>
      <c r="B599" s="43"/>
      <c r="C599" s="43"/>
    </row>
    <row r="600">
      <c r="A600" s="23"/>
      <c r="B600" s="43"/>
      <c r="C600" s="43"/>
    </row>
    <row r="601">
      <c r="A601" s="23"/>
      <c r="B601" s="43"/>
      <c r="C601" s="43"/>
    </row>
    <row r="602">
      <c r="A602" s="23"/>
      <c r="B602" s="43"/>
      <c r="C602" s="43"/>
    </row>
    <row r="603">
      <c r="A603" s="23"/>
      <c r="B603" s="43"/>
      <c r="C603" s="43"/>
    </row>
    <row r="604">
      <c r="A604" s="23"/>
      <c r="B604" s="43"/>
      <c r="C604" s="43"/>
    </row>
    <row r="605">
      <c r="A605" s="23"/>
      <c r="B605" s="43"/>
      <c r="C605" s="43"/>
    </row>
    <row r="606">
      <c r="A606" s="23"/>
      <c r="B606" s="43"/>
      <c r="C606" s="43"/>
    </row>
    <row r="607">
      <c r="A607" s="23"/>
      <c r="B607" s="43"/>
      <c r="C607" s="43"/>
    </row>
    <row r="608">
      <c r="A608" s="23"/>
      <c r="B608" s="43"/>
      <c r="C608" s="43"/>
    </row>
    <row r="609">
      <c r="A609" s="23"/>
      <c r="B609" s="43"/>
      <c r="C609" s="43"/>
    </row>
    <row r="610">
      <c r="A610" s="23"/>
      <c r="B610" s="43"/>
      <c r="C610" s="43"/>
    </row>
    <row r="611">
      <c r="A611" s="23"/>
      <c r="B611" s="43"/>
      <c r="C611" s="43"/>
    </row>
    <row r="612">
      <c r="A612" s="23"/>
      <c r="B612" s="43"/>
      <c r="C612" s="43"/>
    </row>
    <row r="613">
      <c r="A613" s="23"/>
      <c r="B613" s="43"/>
      <c r="C613" s="43"/>
    </row>
    <row r="614">
      <c r="A614" s="23"/>
      <c r="B614" s="43"/>
      <c r="C614" s="43"/>
    </row>
    <row r="615">
      <c r="A615" s="23"/>
      <c r="B615" s="43"/>
      <c r="C615" s="43"/>
    </row>
    <row r="616">
      <c r="A616" s="23"/>
      <c r="B616" s="43"/>
      <c r="C616" s="43"/>
    </row>
    <row r="617">
      <c r="A617" s="23"/>
      <c r="B617" s="43"/>
      <c r="C617" s="43"/>
    </row>
    <row r="618">
      <c r="A618" s="23"/>
      <c r="B618" s="43"/>
      <c r="C618" s="43"/>
    </row>
    <row r="619">
      <c r="A619" s="23"/>
      <c r="B619" s="43"/>
      <c r="C619" s="43"/>
    </row>
    <row r="620">
      <c r="A620" s="23"/>
      <c r="B620" s="43"/>
      <c r="C620" s="43"/>
    </row>
    <row r="621">
      <c r="A621" s="23"/>
      <c r="B621" s="43"/>
      <c r="C621" s="43"/>
    </row>
    <row r="622">
      <c r="A622" s="23"/>
      <c r="B622" s="43"/>
      <c r="C622" s="43"/>
    </row>
    <row r="623">
      <c r="A623" s="23"/>
      <c r="B623" s="43"/>
      <c r="C623" s="43"/>
    </row>
    <row r="624">
      <c r="A624" s="23"/>
      <c r="B624" s="43"/>
      <c r="C624" s="43"/>
    </row>
    <row r="625">
      <c r="A625" s="23"/>
      <c r="B625" s="43"/>
      <c r="C625" s="43"/>
    </row>
    <row r="626">
      <c r="A626" s="23"/>
      <c r="B626" s="43"/>
      <c r="C626" s="43"/>
    </row>
    <row r="627">
      <c r="A627" s="23"/>
      <c r="B627" s="43"/>
      <c r="C627" s="43"/>
    </row>
    <row r="628">
      <c r="A628" s="23"/>
      <c r="B628" s="43"/>
      <c r="C628" s="43"/>
    </row>
    <row r="629">
      <c r="A629" s="23"/>
      <c r="B629" s="43"/>
      <c r="C629" s="43"/>
    </row>
    <row r="630">
      <c r="A630" s="23"/>
      <c r="B630" s="43"/>
      <c r="C630" s="43"/>
    </row>
    <row r="631">
      <c r="A631" s="23"/>
      <c r="B631" s="43"/>
      <c r="C631" s="43"/>
    </row>
    <row r="632">
      <c r="A632" s="23"/>
      <c r="B632" s="43"/>
      <c r="C632" s="43"/>
    </row>
    <row r="633">
      <c r="A633" s="23"/>
      <c r="B633" s="43"/>
      <c r="C633" s="43"/>
    </row>
    <row r="634">
      <c r="A634" s="23"/>
      <c r="B634" s="43"/>
      <c r="C634" s="43"/>
    </row>
    <row r="635">
      <c r="A635" s="23"/>
      <c r="B635" s="43"/>
      <c r="C635" s="43"/>
    </row>
    <row r="636">
      <c r="A636" s="23"/>
      <c r="B636" s="43"/>
      <c r="C636" s="43"/>
    </row>
    <row r="637">
      <c r="A637" s="23"/>
      <c r="B637" s="43"/>
      <c r="C637" s="43"/>
    </row>
    <row r="638">
      <c r="A638" s="23"/>
      <c r="B638" s="43"/>
      <c r="C638" s="43"/>
    </row>
    <row r="639">
      <c r="A639" s="23"/>
      <c r="B639" s="43"/>
      <c r="C639" s="43"/>
    </row>
    <row r="640">
      <c r="A640" s="23"/>
      <c r="B640" s="43"/>
      <c r="C640" s="43"/>
    </row>
    <row r="641">
      <c r="A641" s="23"/>
      <c r="B641" s="43"/>
      <c r="C641" s="43"/>
    </row>
    <row r="642">
      <c r="A642" s="23"/>
      <c r="B642" s="43"/>
      <c r="C642" s="43"/>
    </row>
    <row r="643">
      <c r="A643" s="23"/>
      <c r="B643" s="43"/>
      <c r="C643" s="43"/>
    </row>
    <row r="644">
      <c r="A644" s="23"/>
      <c r="B644" s="43"/>
      <c r="C644" s="43"/>
    </row>
    <row r="645">
      <c r="A645" s="23"/>
      <c r="B645" s="43"/>
      <c r="C645" s="43"/>
    </row>
    <row r="646">
      <c r="A646" s="23"/>
      <c r="B646" s="43"/>
      <c r="C646" s="43"/>
    </row>
    <row r="647">
      <c r="A647" s="23"/>
      <c r="B647" s="43"/>
      <c r="C647" s="43"/>
    </row>
    <row r="648">
      <c r="A648" s="23"/>
      <c r="B648" s="43"/>
      <c r="C648" s="43"/>
    </row>
    <row r="649">
      <c r="A649" s="23"/>
      <c r="B649" s="43"/>
      <c r="C649" s="43"/>
    </row>
    <row r="650">
      <c r="A650" s="23"/>
      <c r="B650" s="43"/>
      <c r="C650" s="43"/>
    </row>
    <row r="651">
      <c r="A651" s="23"/>
      <c r="B651" s="43"/>
      <c r="C651" s="43"/>
    </row>
    <row r="652">
      <c r="A652" s="23"/>
      <c r="B652" s="43"/>
      <c r="C652" s="43"/>
    </row>
    <row r="653">
      <c r="A653" s="23"/>
      <c r="B653" s="43"/>
      <c r="C653" s="43"/>
    </row>
    <row r="654">
      <c r="A654" s="23"/>
      <c r="B654" s="43"/>
      <c r="C654" s="43"/>
    </row>
    <row r="655">
      <c r="A655" s="23"/>
      <c r="B655" s="43"/>
      <c r="C655" s="43"/>
    </row>
    <row r="656">
      <c r="A656" s="23"/>
      <c r="B656" s="43"/>
      <c r="C656" s="43"/>
    </row>
    <row r="657">
      <c r="A657" s="23"/>
      <c r="B657" s="43"/>
      <c r="C657" s="43"/>
    </row>
    <row r="658">
      <c r="A658" s="23"/>
      <c r="B658" s="43"/>
      <c r="C658" s="43"/>
    </row>
    <row r="659">
      <c r="A659" s="23"/>
      <c r="B659" s="43"/>
      <c r="C659" s="43"/>
    </row>
    <row r="660">
      <c r="A660" s="23"/>
      <c r="B660" s="43"/>
      <c r="C660" s="43"/>
    </row>
    <row r="661">
      <c r="A661" s="23"/>
      <c r="B661" s="43"/>
      <c r="C661" s="43"/>
    </row>
    <row r="662">
      <c r="A662" s="23"/>
      <c r="B662" s="43"/>
      <c r="C662" s="43"/>
    </row>
    <row r="663">
      <c r="A663" s="23"/>
      <c r="B663" s="43"/>
      <c r="C663" s="43"/>
    </row>
    <row r="664">
      <c r="A664" s="23"/>
      <c r="B664" s="43"/>
      <c r="C664" s="43"/>
    </row>
    <row r="665">
      <c r="A665" s="23"/>
      <c r="B665" s="43"/>
      <c r="C665" s="43"/>
    </row>
    <row r="666">
      <c r="A666" s="23"/>
      <c r="B666" s="43"/>
      <c r="C666" s="43"/>
    </row>
    <row r="667">
      <c r="A667" s="23"/>
      <c r="B667" s="43"/>
      <c r="C667" s="43"/>
    </row>
    <row r="668">
      <c r="A668" s="23"/>
      <c r="B668" s="43"/>
      <c r="C668" s="43"/>
    </row>
    <row r="669">
      <c r="A669" s="23"/>
      <c r="B669" s="43"/>
      <c r="C669" s="43"/>
    </row>
    <row r="670">
      <c r="A670" s="23"/>
      <c r="B670" s="43"/>
      <c r="C670" s="43"/>
    </row>
    <row r="671">
      <c r="A671" s="23"/>
      <c r="B671" s="43"/>
      <c r="C671" s="43"/>
    </row>
    <row r="672">
      <c r="A672" s="23"/>
      <c r="B672" s="43"/>
      <c r="C672" s="43"/>
    </row>
    <row r="673">
      <c r="A673" s="23"/>
      <c r="B673" s="43"/>
      <c r="C673" s="43"/>
    </row>
    <row r="674">
      <c r="A674" s="23"/>
      <c r="B674" s="43"/>
      <c r="C674" s="43"/>
    </row>
    <row r="675">
      <c r="A675" s="23"/>
      <c r="B675" s="43"/>
      <c r="C675" s="43"/>
    </row>
    <row r="676">
      <c r="A676" s="23"/>
      <c r="B676" s="43"/>
      <c r="C676" s="43"/>
    </row>
    <row r="677">
      <c r="A677" s="23"/>
      <c r="B677" s="43"/>
      <c r="C677" s="43"/>
    </row>
    <row r="678">
      <c r="A678" s="23"/>
      <c r="B678" s="43"/>
      <c r="C678" s="43"/>
    </row>
    <row r="679">
      <c r="A679" s="23"/>
      <c r="B679" s="43"/>
      <c r="C679" s="43"/>
    </row>
    <row r="680">
      <c r="A680" s="23"/>
      <c r="B680" s="43"/>
      <c r="C680" s="43"/>
    </row>
    <row r="681">
      <c r="A681" s="23"/>
      <c r="B681" s="43"/>
      <c r="C681" s="43"/>
    </row>
    <row r="682">
      <c r="A682" s="23"/>
      <c r="B682" s="43"/>
      <c r="C682" s="43"/>
    </row>
    <row r="683">
      <c r="A683" s="23"/>
      <c r="B683" s="43"/>
      <c r="C683" s="43"/>
    </row>
    <row r="684">
      <c r="A684" s="23"/>
      <c r="B684" s="43"/>
      <c r="C684" s="43"/>
    </row>
    <row r="685">
      <c r="A685" s="23"/>
      <c r="B685" s="43"/>
      <c r="C685" s="43"/>
    </row>
    <row r="686">
      <c r="A686" s="23"/>
      <c r="B686" s="43"/>
      <c r="C686" s="43"/>
    </row>
    <row r="687">
      <c r="A687" s="23"/>
      <c r="B687" s="43"/>
      <c r="C687" s="43"/>
    </row>
    <row r="688">
      <c r="A688" s="23"/>
      <c r="B688" s="43"/>
      <c r="C688" s="43"/>
    </row>
    <row r="689">
      <c r="A689" s="23"/>
      <c r="B689" s="43"/>
      <c r="C689" s="43"/>
    </row>
    <row r="690">
      <c r="A690" s="23"/>
      <c r="B690" s="43"/>
      <c r="C690" s="43"/>
    </row>
    <row r="691">
      <c r="A691" s="23"/>
      <c r="B691" s="43"/>
      <c r="C691" s="43"/>
    </row>
    <row r="692">
      <c r="A692" s="23"/>
      <c r="B692" s="43"/>
      <c r="C692" s="43"/>
    </row>
    <row r="693">
      <c r="A693" s="23"/>
      <c r="B693" s="43"/>
      <c r="C693" s="43"/>
    </row>
    <row r="694">
      <c r="A694" s="23"/>
      <c r="B694" s="43"/>
      <c r="C694" s="43"/>
    </row>
    <row r="695">
      <c r="A695" s="23"/>
      <c r="B695" s="43"/>
      <c r="C695" s="43"/>
    </row>
    <row r="696">
      <c r="A696" s="23"/>
      <c r="B696" s="43"/>
      <c r="C696" s="43"/>
    </row>
    <row r="697">
      <c r="A697" s="23"/>
      <c r="B697" s="43"/>
      <c r="C697" s="43"/>
    </row>
    <row r="698">
      <c r="A698" s="23"/>
      <c r="B698" s="43"/>
      <c r="C698" s="43"/>
    </row>
    <row r="699">
      <c r="A699" s="23"/>
      <c r="B699" s="43"/>
      <c r="C699" s="43"/>
    </row>
    <row r="700">
      <c r="A700" s="23"/>
      <c r="B700" s="43"/>
      <c r="C700" s="43"/>
    </row>
    <row r="701">
      <c r="A701" s="23"/>
      <c r="B701" s="43"/>
      <c r="C701" s="43"/>
    </row>
    <row r="702">
      <c r="A702" s="23"/>
      <c r="B702" s="43"/>
      <c r="C702" s="43"/>
    </row>
    <row r="703">
      <c r="A703" s="23"/>
      <c r="B703" s="43"/>
      <c r="C703" s="43"/>
    </row>
    <row r="704">
      <c r="A704" s="23"/>
      <c r="B704" s="43"/>
      <c r="C704" s="43"/>
    </row>
    <row r="705">
      <c r="A705" s="23"/>
      <c r="B705" s="43"/>
      <c r="C705" s="43"/>
    </row>
    <row r="706">
      <c r="A706" s="23"/>
      <c r="B706" s="43"/>
      <c r="C706" s="43"/>
    </row>
    <row r="707">
      <c r="A707" s="23"/>
      <c r="B707" s="43"/>
      <c r="C707" s="43"/>
    </row>
    <row r="708">
      <c r="A708" s="23"/>
      <c r="B708" s="43"/>
      <c r="C708" s="43"/>
    </row>
    <row r="709">
      <c r="A709" s="23"/>
      <c r="B709" s="43"/>
      <c r="C709" s="43"/>
    </row>
    <row r="710">
      <c r="A710" s="23"/>
      <c r="B710" s="43"/>
      <c r="C710" s="43"/>
    </row>
    <row r="711">
      <c r="A711" s="23"/>
      <c r="B711" s="43"/>
      <c r="C711" s="43"/>
    </row>
    <row r="712">
      <c r="A712" s="23"/>
      <c r="B712" s="43"/>
      <c r="C712" s="43"/>
    </row>
    <row r="713">
      <c r="A713" s="23"/>
      <c r="B713" s="43"/>
      <c r="C713" s="43"/>
    </row>
    <row r="714">
      <c r="A714" s="23"/>
      <c r="B714" s="43"/>
      <c r="C714" s="43"/>
    </row>
    <row r="715">
      <c r="A715" s="23"/>
      <c r="B715" s="43"/>
      <c r="C715" s="43"/>
    </row>
    <row r="716">
      <c r="A716" s="23"/>
      <c r="B716" s="43"/>
      <c r="C716" s="43"/>
    </row>
    <row r="717">
      <c r="A717" s="23"/>
      <c r="B717" s="43"/>
      <c r="C717" s="43"/>
    </row>
    <row r="718">
      <c r="A718" s="23"/>
      <c r="B718" s="43"/>
      <c r="C718" s="43"/>
    </row>
    <row r="719">
      <c r="A719" s="23"/>
      <c r="B719" s="43"/>
      <c r="C719" s="43"/>
    </row>
    <row r="720">
      <c r="A720" s="23"/>
      <c r="B720" s="43"/>
      <c r="C720" s="43"/>
    </row>
    <row r="721">
      <c r="A721" s="23"/>
      <c r="B721" s="43"/>
      <c r="C721" s="43"/>
    </row>
    <row r="722">
      <c r="A722" s="23"/>
      <c r="B722" s="43"/>
      <c r="C722" s="43"/>
    </row>
    <row r="723">
      <c r="A723" s="23"/>
      <c r="B723" s="43"/>
      <c r="C723" s="43"/>
    </row>
    <row r="724">
      <c r="A724" s="23"/>
      <c r="B724" s="43"/>
      <c r="C724" s="43"/>
    </row>
    <row r="725">
      <c r="A725" s="23"/>
      <c r="B725" s="43"/>
      <c r="C725" s="43"/>
    </row>
    <row r="726">
      <c r="A726" s="23"/>
      <c r="B726" s="43"/>
      <c r="C726" s="43"/>
    </row>
    <row r="727">
      <c r="A727" s="23"/>
      <c r="B727" s="43"/>
      <c r="C727" s="43"/>
    </row>
    <row r="728">
      <c r="A728" s="23"/>
      <c r="B728" s="43"/>
      <c r="C728" s="43"/>
    </row>
    <row r="729">
      <c r="A729" s="23"/>
      <c r="B729" s="43"/>
      <c r="C729" s="43"/>
    </row>
    <row r="730">
      <c r="A730" s="23"/>
      <c r="B730" s="43"/>
      <c r="C730" s="43"/>
    </row>
    <row r="731">
      <c r="A731" s="23"/>
      <c r="B731" s="43"/>
      <c r="C731" s="43"/>
    </row>
    <row r="732">
      <c r="A732" s="23"/>
      <c r="B732" s="43"/>
      <c r="C732" s="43"/>
    </row>
    <row r="733">
      <c r="A733" s="23"/>
      <c r="B733" s="43"/>
      <c r="C733" s="43"/>
    </row>
    <row r="734">
      <c r="A734" s="23"/>
      <c r="B734" s="43"/>
      <c r="C734" s="43"/>
    </row>
    <row r="735">
      <c r="A735" s="23"/>
      <c r="B735" s="43"/>
      <c r="C735" s="43"/>
    </row>
    <row r="736">
      <c r="A736" s="23"/>
      <c r="B736" s="43"/>
      <c r="C736" s="43"/>
    </row>
    <row r="737">
      <c r="A737" s="23"/>
      <c r="B737" s="43"/>
      <c r="C737" s="43"/>
    </row>
    <row r="738">
      <c r="A738" s="23"/>
      <c r="B738" s="43"/>
      <c r="C738" s="43"/>
    </row>
    <row r="739">
      <c r="A739" s="23"/>
      <c r="B739" s="43"/>
      <c r="C739" s="43"/>
    </row>
    <row r="740">
      <c r="A740" s="23"/>
      <c r="B740" s="43"/>
      <c r="C740" s="43"/>
    </row>
    <row r="741">
      <c r="A741" s="23"/>
      <c r="B741" s="43"/>
      <c r="C741" s="43"/>
    </row>
    <row r="742">
      <c r="A742" s="23"/>
      <c r="B742" s="43"/>
      <c r="C742" s="43"/>
    </row>
    <row r="743">
      <c r="A743" s="23"/>
      <c r="B743" s="43"/>
      <c r="C743" s="43"/>
    </row>
    <row r="744">
      <c r="A744" s="23"/>
      <c r="B744" s="43"/>
      <c r="C744" s="43"/>
    </row>
    <row r="745">
      <c r="A745" s="23"/>
      <c r="B745" s="43"/>
      <c r="C745" s="43"/>
    </row>
    <row r="746">
      <c r="A746" s="23"/>
      <c r="B746" s="43"/>
      <c r="C746" s="43"/>
    </row>
    <row r="747">
      <c r="A747" s="23"/>
      <c r="B747" s="43"/>
      <c r="C747" s="43"/>
    </row>
    <row r="748">
      <c r="A748" s="23"/>
      <c r="B748" s="43"/>
      <c r="C748" s="43"/>
    </row>
    <row r="749">
      <c r="A749" s="23"/>
      <c r="B749" s="43"/>
      <c r="C749" s="43"/>
    </row>
    <row r="750">
      <c r="A750" s="23"/>
      <c r="B750" s="43"/>
      <c r="C750" s="43"/>
    </row>
    <row r="751">
      <c r="A751" s="23"/>
      <c r="B751" s="43"/>
      <c r="C751" s="43"/>
    </row>
    <row r="752">
      <c r="A752" s="23"/>
      <c r="B752" s="43"/>
      <c r="C752" s="43"/>
    </row>
    <row r="753">
      <c r="A753" s="23"/>
      <c r="B753" s="43"/>
      <c r="C753" s="43"/>
    </row>
    <row r="754">
      <c r="A754" s="23"/>
      <c r="B754" s="43"/>
      <c r="C754" s="43"/>
    </row>
    <row r="755">
      <c r="A755" s="23"/>
      <c r="B755" s="43"/>
      <c r="C755" s="43"/>
    </row>
    <row r="756">
      <c r="A756" s="23"/>
      <c r="B756" s="43"/>
      <c r="C756" s="43"/>
    </row>
    <row r="757">
      <c r="A757" s="23"/>
      <c r="B757" s="43"/>
      <c r="C757" s="43"/>
    </row>
    <row r="758">
      <c r="A758" s="23"/>
      <c r="B758" s="43"/>
      <c r="C758" s="43"/>
    </row>
    <row r="759">
      <c r="A759" s="23"/>
      <c r="B759" s="43"/>
      <c r="C759" s="43"/>
    </row>
    <row r="760">
      <c r="A760" s="23"/>
      <c r="B760" s="43"/>
      <c r="C760" s="43"/>
    </row>
    <row r="761">
      <c r="A761" s="23"/>
      <c r="B761" s="43"/>
      <c r="C761" s="43"/>
    </row>
    <row r="762">
      <c r="A762" s="23"/>
      <c r="B762" s="43"/>
      <c r="C762" s="43"/>
    </row>
    <row r="763">
      <c r="A763" s="23"/>
      <c r="B763" s="43"/>
      <c r="C763" s="43"/>
    </row>
    <row r="764">
      <c r="A764" s="23"/>
      <c r="B764" s="43"/>
      <c r="C764" s="43"/>
    </row>
    <row r="765">
      <c r="A765" s="23"/>
      <c r="B765" s="43"/>
      <c r="C765" s="43"/>
    </row>
    <row r="766">
      <c r="A766" s="23"/>
      <c r="B766" s="43"/>
      <c r="C766" s="43"/>
    </row>
    <row r="767">
      <c r="A767" s="23"/>
      <c r="B767" s="43"/>
      <c r="C767" s="43"/>
    </row>
    <row r="768">
      <c r="A768" s="23"/>
      <c r="B768" s="43"/>
      <c r="C768" s="43"/>
    </row>
    <row r="769">
      <c r="A769" s="23"/>
      <c r="B769" s="43"/>
      <c r="C769" s="43"/>
    </row>
    <row r="770">
      <c r="A770" s="23"/>
      <c r="B770" s="43"/>
      <c r="C770" s="43"/>
    </row>
    <row r="771">
      <c r="A771" s="23"/>
      <c r="B771" s="43"/>
      <c r="C771" s="43"/>
    </row>
    <row r="772">
      <c r="A772" s="23"/>
      <c r="B772" s="43"/>
      <c r="C772" s="43"/>
    </row>
    <row r="773">
      <c r="A773" s="23"/>
      <c r="B773" s="43"/>
      <c r="C773" s="43"/>
    </row>
    <row r="774">
      <c r="A774" s="23"/>
      <c r="B774" s="43"/>
      <c r="C774" s="43"/>
    </row>
    <row r="775">
      <c r="A775" s="23"/>
      <c r="B775" s="43"/>
      <c r="C775" s="43"/>
    </row>
    <row r="776">
      <c r="A776" s="23"/>
      <c r="B776" s="43"/>
      <c r="C776" s="43"/>
    </row>
    <row r="777">
      <c r="A777" s="23"/>
      <c r="B777" s="43"/>
      <c r="C777" s="43"/>
    </row>
    <row r="778">
      <c r="A778" s="23"/>
      <c r="B778" s="43"/>
      <c r="C778" s="43"/>
    </row>
    <row r="779">
      <c r="A779" s="23"/>
      <c r="B779" s="43"/>
      <c r="C779" s="43"/>
    </row>
    <row r="780">
      <c r="A780" s="23"/>
      <c r="B780" s="43"/>
      <c r="C780" s="43"/>
    </row>
    <row r="781">
      <c r="A781" s="23"/>
      <c r="B781" s="43"/>
      <c r="C781" s="43"/>
    </row>
    <row r="782">
      <c r="A782" s="23"/>
      <c r="B782" s="43"/>
      <c r="C782" s="43"/>
    </row>
    <row r="783">
      <c r="A783" s="23"/>
      <c r="B783" s="43"/>
      <c r="C783" s="43"/>
    </row>
    <row r="784">
      <c r="A784" s="23"/>
      <c r="B784" s="43"/>
      <c r="C784" s="43"/>
    </row>
    <row r="785">
      <c r="A785" s="23"/>
      <c r="B785" s="43"/>
      <c r="C785" s="43"/>
    </row>
    <row r="786">
      <c r="A786" s="23"/>
      <c r="B786" s="43"/>
      <c r="C786" s="43"/>
    </row>
    <row r="787">
      <c r="A787" s="23"/>
      <c r="B787" s="43"/>
      <c r="C787" s="43"/>
    </row>
    <row r="788">
      <c r="A788" s="23"/>
      <c r="B788" s="43"/>
      <c r="C788" s="43"/>
    </row>
    <row r="789">
      <c r="A789" s="23"/>
      <c r="B789" s="43"/>
      <c r="C789" s="43"/>
    </row>
    <row r="790">
      <c r="A790" s="23"/>
      <c r="B790" s="43"/>
      <c r="C790" s="43"/>
    </row>
    <row r="791">
      <c r="A791" s="23"/>
      <c r="B791" s="43"/>
      <c r="C791" s="43"/>
    </row>
    <row r="792">
      <c r="A792" s="23"/>
      <c r="B792" s="43"/>
      <c r="C792" s="43"/>
    </row>
    <row r="793">
      <c r="A793" s="23"/>
      <c r="B793" s="43"/>
      <c r="C793" s="43"/>
    </row>
    <row r="794">
      <c r="A794" s="23"/>
      <c r="B794" s="43"/>
      <c r="C794" s="43"/>
    </row>
    <row r="795">
      <c r="A795" s="23"/>
      <c r="B795" s="43"/>
      <c r="C795" s="43"/>
    </row>
    <row r="796">
      <c r="A796" s="23"/>
      <c r="B796" s="43"/>
      <c r="C796" s="43"/>
    </row>
    <row r="797">
      <c r="A797" s="23"/>
      <c r="B797" s="43"/>
      <c r="C797" s="43"/>
    </row>
    <row r="798">
      <c r="A798" s="23"/>
      <c r="B798" s="43"/>
      <c r="C798" s="43"/>
    </row>
    <row r="799">
      <c r="A799" s="23"/>
      <c r="B799" s="43"/>
      <c r="C799" s="43"/>
    </row>
    <row r="800">
      <c r="A800" s="23"/>
      <c r="B800" s="43"/>
      <c r="C800" s="43"/>
    </row>
    <row r="801">
      <c r="A801" s="23"/>
      <c r="B801" s="43"/>
      <c r="C801" s="43"/>
    </row>
    <row r="802">
      <c r="A802" s="23"/>
      <c r="B802" s="43"/>
      <c r="C802" s="43"/>
    </row>
    <row r="803">
      <c r="A803" s="23"/>
      <c r="B803" s="43"/>
      <c r="C803" s="43"/>
    </row>
    <row r="804">
      <c r="A804" s="23"/>
      <c r="B804" s="43"/>
      <c r="C804" s="43"/>
    </row>
    <row r="805">
      <c r="A805" s="23"/>
      <c r="B805" s="43"/>
      <c r="C805" s="43"/>
    </row>
    <row r="806">
      <c r="A806" s="23"/>
      <c r="B806" s="43"/>
      <c r="C806" s="43"/>
    </row>
    <row r="807">
      <c r="A807" s="23"/>
      <c r="B807" s="43"/>
      <c r="C807" s="43"/>
    </row>
    <row r="808">
      <c r="A808" s="23"/>
      <c r="B808" s="43"/>
      <c r="C808" s="43"/>
    </row>
    <row r="809">
      <c r="A809" s="23"/>
      <c r="B809" s="43"/>
      <c r="C809" s="43"/>
    </row>
    <row r="810">
      <c r="A810" s="23"/>
      <c r="B810" s="43"/>
      <c r="C810" s="43"/>
    </row>
    <row r="811">
      <c r="A811" s="23"/>
      <c r="B811" s="43"/>
      <c r="C811" s="43"/>
    </row>
    <row r="812">
      <c r="A812" s="23"/>
      <c r="B812" s="43"/>
      <c r="C812" s="43"/>
    </row>
    <row r="813">
      <c r="A813" s="23"/>
      <c r="B813" s="43"/>
      <c r="C813" s="43"/>
    </row>
    <row r="814">
      <c r="A814" s="23"/>
      <c r="B814" s="43"/>
      <c r="C814" s="43"/>
    </row>
    <row r="815">
      <c r="A815" s="23"/>
      <c r="B815" s="43"/>
      <c r="C815" s="43"/>
    </row>
    <row r="816">
      <c r="A816" s="23"/>
      <c r="B816" s="43"/>
      <c r="C816" s="43"/>
    </row>
    <row r="817">
      <c r="A817" s="23"/>
      <c r="B817" s="43"/>
      <c r="C817" s="43"/>
    </row>
    <row r="818">
      <c r="A818" s="23"/>
      <c r="B818" s="43"/>
      <c r="C818" s="43"/>
    </row>
    <row r="819">
      <c r="A819" s="23"/>
      <c r="B819" s="43"/>
      <c r="C819" s="43"/>
    </row>
    <row r="820">
      <c r="A820" s="23"/>
      <c r="B820" s="43"/>
      <c r="C820" s="43"/>
    </row>
    <row r="821">
      <c r="A821" s="23"/>
      <c r="B821" s="43"/>
      <c r="C821" s="43"/>
    </row>
    <row r="822">
      <c r="A822" s="23"/>
      <c r="B822" s="43"/>
      <c r="C822" s="43"/>
    </row>
    <row r="823">
      <c r="A823" s="23"/>
      <c r="B823" s="43"/>
      <c r="C823" s="43"/>
    </row>
    <row r="824">
      <c r="A824" s="23"/>
      <c r="B824" s="43"/>
      <c r="C824" s="43"/>
    </row>
    <row r="825">
      <c r="A825" s="23"/>
      <c r="B825" s="43"/>
      <c r="C825" s="43"/>
    </row>
    <row r="826">
      <c r="A826" s="23"/>
      <c r="B826" s="43"/>
      <c r="C826" s="43"/>
    </row>
    <row r="827">
      <c r="A827" s="23"/>
      <c r="B827" s="43"/>
      <c r="C827" s="43"/>
    </row>
    <row r="828">
      <c r="A828" s="23"/>
      <c r="B828" s="43"/>
      <c r="C828" s="43"/>
    </row>
    <row r="829">
      <c r="A829" s="23"/>
      <c r="B829" s="43"/>
      <c r="C829" s="43"/>
    </row>
    <row r="830">
      <c r="A830" s="23"/>
      <c r="B830" s="43"/>
      <c r="C830" s="43"/>
    </row>
    <row r="831">
      <c r="A831" s="23"/>
      <c r="B831" s="43"/>
      <c r="C831" s="43"/>
    </row>
    <row r="832">
      <c r="A832" s="23"/>
      <c r="B832" s="43"/>
      <c r="C832" s="43"/>
    </row>
    <row r="833">
      <c r="A833" s="23"/>
      <c r="B833" s="43"/>
      <c r="C833" s="43"/>
    </row>
    <row r="834">
      <c r="A834" s="23"/>
      <c r="B834" s="43"/>
      <c r="C834" s="43"/>
    </row>
    <row r="835">
      <c r="A835" s="23"/>
      <c r="B835" s="43"/>
      <c r="C835" s="43"/>
    </row>
    <row r="836">
      <c r="A836" s="23"/>
      <c r="B836" s="43"/>
      <c r="C836" s="43"/>
    </row>
    <row r="837">
      <c r="A837" s="23"/>
      <c r="B837" s="43"/>
      <c r="C837" s="43"/>
    </row>
    <row r="838">
      <c r="A838" s="23"/>
      <c r="B838" s="43"/>
      <c r="C838" s="43"/>
    </row>
    <row r="839">
      <c r="A839" s="23"/>
      <c r="B839" s="43"/>
      <c r="C839" s="43"/>
    </row>
    <row r="840">
      <c r="A840" s="23"/>
      <c r="B840" s="43"/>
      <c r="C840" s="43"/>
    </row>
    <row r="841">
      <c r="A841" s="23"/>
      <c r="B841" s="43"/>
      <c r="C841" s="43"/>
    </row>
    <row r="842">
      <c r="A842" s="23"/>
      <c r="B842" s="43"/>
      <c r="C842" s="43"/>
    </row>
    <row r="843">
      <c r="A843" s="23"/>
      <c r="B843" s="43"/>
      <c r="C843" s="43"/>
    </row>
    <row r="844">
      <c r="A844" s="23"/>
      <c r="B844" s="43"/>
      <c r="C844" s="43"/>
    </row>
    <row r="845">
      <c r="A845" s="23"/>
      <c r="B845" s="43"/>
      <c r="C845" s="43"/>
    </row>
    <row r="846">
      <c r="A846" s="23"/>
      <c r="B846" s="43"/>
      <c r="C846" s="43"/>
    </row>
    <row r="847">
      <c r="A847" s="23"/>
      <c r="B847" s="43"/>
      <c r="C847" s="43"/>
    </row>
    <row r="848">
      <c r="A848" s="23"/>
      <c r="B848" s="43"/>
      <c r="C848" s="43"/>
    </row>
    <row r="849">
      <c r="A849" s="23"/>
      <c r="B849" s="43"/>
      <c r="C849" s="43"/>
    </row>
    <row r="850">
      <c r="A850" s="23"/>
      <c r="B850" s="43"/>
      <c r="C850" s="43"/>
    </row>
    <row r="851">
      <c r="A851" s="23"/>
      <c r="B851" s="43"/>
      <c r="C851" s="43"/>
    </row>
    <row r="852">
      <c r="A852" s="23"/>
      <c r="B852" s="43"/>
      <c r="C852" s="43"/>
    </row>
    <row r="853">
      <c r="A853" s="23"/>
      <c r="B853" s="43"/>
      <c r="C853" s="43"/>
    </row>
    <row r="854">
      <c r="A854" s="23"/>
      <c r="B854" s="43"/>
      <c r="C854" s="43"/>
    </row>
    <row r="855">
      <c r="A855" s="23"/>
      <c r="B855" s="43"/>
      <c r="C855" s="43"/>
    </row>
    <row r="856">
      <c r="A856" s="23"/>
      <c r="B856" s="43"/>
      <c r="C856" s="43"/>
    </row>
    <row r="857">
      <c r="A857" s="23"/>
      <c r="B857" s="43"/>
      <c r="C857" s="43"/>
    </row>
    <row r="858">
      <c r="A858" s="23"/>
      <c r="B858" s="43"/>
      <c r="C858" s="43"/>
    </row>
    <row r="859">
      <c r="A859" s="23"/>
      <c r="B859" s="43"/>
      <c r="C859" s="43"/>
    </row>
    <row r="860">
      <c r="A860" s="23"/>
      <c r="B860" s="43"/>
      <c r="C860" s="43"/>
    </row>
    <row r="861">
      <c r="A861" s="23"/>
      <c r="B861" s="43"/>
      <c r="C861" s="43"/>
    </row>
    <row r="862">
      <c r="A862" s="23"/>
      <c r="B862" s="43"/>
      <c r="C862" s="43"/>
    </row>
    <row r="863">
      <c r="A863" s="23"/>
      <c r="B863" s="43"/>
      <c r="C863" s="43"/>
    </row>
    <row r="864">
      <c r="A864" s="23"/>
      <c r="B864" s="43"/>
      <c r="C864" s="43"/>
    </row>
    <row r="865">
      <c r="A865" s="23"/>
      <c r="B865" s="43"/>
      <c r="C865" s="43"/>
    </row>
    <row r="866">
      <c r="A866" s="23"/>
      <c r="B866" s="43"/>
      <c r="C866" s="43"/>
    </row>
    <row r="867">
      <c r="A867" s="23"/>
      <c r="B867" s="43"/>
      <c r="C867" s="43"/>
    </row>
    <row r="868">
      <c r="A868" s="23"/>
      <c r="B868" s="43"/>
      <c r="C868" s="43"/>
    </row>
    <row r="869">
      <c r="A869" s="23"/>
      <c r="B869" s="43"/>
      <c r="C869" s="43"/>
    </row>
    <row r="870">
      <c r="A870" s="23"/>
      <c r="B870" s="43"/>
      <c r="C870" s="43"/>
    </row>
    <row r="871">
      <c r="A871" s="23"/>
      <c r="B871" s="43"/>
      <c r="C871" s="43"/>
    </row>
    <row r="872">
      <c r="A872" s="23"/>
      <c r="B872" s="43"/>
      <c r="C872" s="43"/>
    </row>
    <row r="873">
      <c r="A873" s="23"/>
      <c r="B873" s="43"/>
      <c r="C873" s="43"/>
    </row>
    <row r="874">
      <c r="A874" s="23"/>
      <c r="B874" s="43"/>
      <c r="C874" s="43"/>
    </row>
    <row r="875">
      <c r="A875" s="23"/>
      <c r="B875" s="43"/>
      <c r="C875" s="43"/>
    </row>
    <row r="876">
      <c r="A876" s="23"/>
      <c r="B876" s="43"/>
      <c r="C876" s="43"/>
    </row>
    <row r="877">
      <c r="A877" s="23"/>
      <c r="B877" s="43"/>
      <c r="C877" s="43"/>
    </row>
    <row r="878">
      <c r="A878" s="23"/>
      <c r="B878" s="43"/>
      <c r="C878" s="43"/>
    </row>
    <row r="879">
      <c r="A879" s="23"/>
      <c r="B879" s="43"/>
      <c r="C879" s="43"/>
    </row>
    <row r="880">
      <c r="A880" s="23"/>
      <c r="B880" s="43"/>
      <c r="C880" s="43"/>
    </row>
    <row r="881">
      <c r="A881" s="23"/>
      <c r="B881" s="43"/>
      <c r="C881" s="43"/>
    </row>
    <row r="882">
      <c r="A882" s="23"/>
      <c r="B882" s="43"/>
      <c r="C882" s="43"/>
    </row>
    <row r="883">
      <c r="A883" s="23"/>
      <c r="B883" s="43"/>
      <c r="C883" s="43"/>
    </row>
    <row r="884">
      <c r="A884" s="23"/>
      <c r="B884" s="43"/>
      <c r="C884" s="43"/>
    </row>
    <row r="885">
      <c r="A885" s="23"/>
      <c r="B885" s="43"/>
      <c r="C885" s="43"/>
    </row>
    <row r="886">
      <c r="A886" s="23"/>
      <c r="B886" s="43"/>
      <c r="C886" s="43"/>
    </row>
    <row r="887">
      <c r="A887" s="23"/>
      <c r="B887" s="43"/>
      <c r="C887" s="43"/>
    </row>
    <row r="888">
      <c r="A888" s="23"/>
      <c r="B888" s="43"/>
      <c r="C888" s="43"/>
    </row>
    <row r="889">
      <c r="A889" s="23"/>
      <c r="B889" s="43"/>
      <c r="C889" s="43"/>
    </row>
    <row r="890">
      <c r="A890" s="23"/>
      <c r="B890" s="43"/>
      <c r="C890" s="43"/>
    </row>
    <row r="891">
      <c r="A891" s="23"/>
      <c r="B891" s="43"/>
      <c r="C891" s="43"/>
    </row>
    <row r="892">
      <c r="A892" s="23"/>
      <c r="B892" s="43"/>
      <c r="C892" s="43"/>
    </row>
    <row r="893">
      <c r="A893" s="23"/>
      <c r="B893" s="43"/>
      <c r="C893" s="43"/>
    </row>
    <row r="894">
      <c r="A894" s="23"/>
      <c r="B894" s="43"/>
      <c r="C894" s="43"/>
    </row>
    <row r="895">
      <c r="A895" s="23"/>
      <c r="B895" s="43"/>
      <c r="C895" s="43"/>
    </row>
    <row r="896">
      <c r="A896" s="23"/>
      <c r="B896" s="43"/>
      <c r="C896" s="43"/>
    </row>
    <row r="897">
      <c r="A897" s="23"/>
      <c r="B897" s="43"/>
      <c r="C897" s="43"/>
    </row>
    <row r="898">
      <c r="A898" s="23"/>
      <c r="B898" s="43"/>
      <c r="C898" s="43"/>
    </row>
    <row r="899">
      <c r="A899" s="23"/>
      <c r="B899" s="43"/>
      <c r="C899" s="43"/>
    </row>
    <row r="900">
      <c r="A900" s="23"/>
      <c r="B900" s="43"/>
      <c r="C900" s="43"/>
    </row>
    <row r="901">
      <c r="A901" s="23"/>
      <c r="B901" s="43"/>
      <c r="C901" s="43"/>
    </row>
    <row r="902">
      <c r="A902" s="23"/>
      <c r="B902" s="43"/>
      <c r="C902" s="43"/>
    </row>
    <row r="903">
      <c r="A903" s="23"/>
      <c r="B903" s="43"/>
      <c r="C903" s="43"/>
    </row>
    <row r="904">
      <c r="A904" s="23"/>
      <c r="B904" s="43"/>
      <c r="C904" s="43"/>
    </row>
    <row r="905">
      <c r="A905" s="23"/>
      <c r="B905" s="43"/>
      <c r="C905" s="43"/>
    </row>
    <row r="906">
      <c r="A906" s="23"/>
      <c r="B906" s="43"/>
      <c r="C906" s="43"/>
    </row>
    <row r="907">
      <c r="A907" s="23"/>
      <c r="B907" s="43"/>
      <c r="C907" s="43"/>
    </row>
    <row r="908">
      <c r="A908" s="23"/>
      <c r="B908" s="43"/>
      <c r="C908" s="43"/>
    </row>
    <row r="909">
      <c r="A909" s="23"/>
      <c r="B909" s="43"/>
      <c r="C909" s="43"/>
    </row>
    <row r="910">
      <c r="A910" s="23"/>
      <c r="B910" s="43"/>
      <c r="C910" s="43"/>
    </row>
    <row r="911">
      <c r="A911" s="23"/>
      <c r="B911" s="43"/>
      <c r="C911" s="43"/>
    </row>
    <row r="912">
      <c r="A912" s="23"/>
      <c r="B912" s="43"/>
      <c r="C912" s="43"/>
    </row>
    <row r="913">
      <c r="A913" s="23"/>
      <c r="B913" s="43"/>
      <c r="C913" s="43"/>
    </row>
    <row r="914">
      <c r="A914" s="23"/>
      <c r="B914" s="43"/>
      <c r="C914" s="43"/>
    </row>
    <row r="915">
      <c r="A915" s="23"/>
      <c r="B915" s="43"/>
      <c r="C915" s="43"/>
    </row>
    <row r="916">
      <c r="A916" s="23"/>
      <c r="B916" s="43"/>
      <c r="C916" s="43"/>
    </row>
    <row r="917">
      <c r="A917" s="23"/>
      <c r="B917" s="43"/>
      <c r="C917" s="43"/>
    </row>
    <row r="918">
      <c r="A918" s="23"/>
      <c r="B918" s="43"/>
      <c r="C918" s="43"/>
    </row>
    <row r="919">
      <c r="A919" s="23"/>
      <c r="B919" s="43"/>
      <c r="C919" s="43"/>
    </row>
    <row r="920">
      <c r="A920" s="23"/>
      <c r="B920" s="43"/>
      <c r="C920" s="43"/>
    </row>
    <row r="921">
      <c r="A921" s="23"/>
      <c r="B921" s="43"/>
      <c r="C921" s="43"/>
    </row>
    <row r="922">
      <c r="A922" s="23"/>
      <c r="B922" s="43"/>
      <c r="C922" s="43"/>
    </row>
    <row r="923">
      <c r="A923" s="23"/>
      <c r="B923" s="43"/>
      <c r="C923" s="43"/>
    </row>
    <row r="924">
      <c r="A924" s="23"/>
      <c r="B924" s="43"/>
      <c r="C924" s="43"/>
    </row>
    <row r="925">
      <c r="A925" s="23"/>
      <c r="B925" s="43"/>
      <c r="C925" s="43"/>
    </row>
    <row r="926">
      <c r="A926" s="23"/>
      <c r="B926" s="43"/>
      <c r="C926" s="43"/>
    </row>
    <row r="927">
      <c r="A927" s="23"/>
      <c r="B927" s="43"/>
      <c r="C927" s="43"/>
    </row>
    <row r="928">
      <c r="A928" s="23"/>
      <c r="B928" s="43"/>
      <c r="C928" s="43"/>
    </row>
    <row r="929">
      <c r="A929" s="23"/>
      <c r="B929" s="43"/>
      <c r="C929" s="43"/>
    </row>
    <row r="930">
      <c r="A930" s="23"/>
      <c r="B930" s="43"/>
      <c r="C930" s="43"/>
    </row>
    <row r="931">
      <c r="A931" s="23"/>
      <c r="B931" s="43"/>
      <c r="C931" s="43"/>
    </row>
    <row r="932">
      <c r="A932" s="23"/>
      <c r="B932" s="43"/>
      <c r="C932" s="43"/>
    </row>
    <row r="933">
      <c r="A933" s="23"/>
      <c r="B933" s="43"/>
      <c r="C933" s="43"/>
    </row>
    <row r="934">
      <c r="A934" s="23"/>
      <c r="B934" s="43"/>
      <c r="C934" s="43"/>
    </row>
    <row r="935">
      <c r="A935" s="23"/>
      <c r="B935" s="43"/>
      <c r="C935" s="43"/>
    </row>
    <row r="936">
      <c r="A936" s="23"/>
      <c r="B936" s="43"/>
      <c r="C936" s="43"/>
    </row>
    <row r="937">
      <c r="A937" s="23"/>
      <c r="B937" s="43"/>
      <c r="C937" s="43"/>
    </row>
    <row r="938">
      <c r="A938" s="23"/>
      <c r="B938" s="43"/>
      <c r="C938" s="43"/>
    </row>
    <row r="939">
      <c r="A939" s="23"/>
      <c r="B939" s="43"/>
      <c r="C939" s="43"/>
    </row>
    <row r="940">
      <c r="A940" s="23"/>
      <c r="B940" s="43"/>
      <c r="C940" s="43"/>
    </row>
    <row r="941">
      <c r="A941" s="23"/>
      <c r="B941" s="43"/>
      <c r="C941" s="43"/>
    </row>
    <row r="942">
      <c r="A942" s="23"/>
      <c r="B942" s="43"/>
      <c r="C942" s="43"/>
    </row>
    <row r="943">
      <c r="A943" s="23"/>
      <c r="B943" s="43"/>
      <c r="C943" s="43"/>
    </row>
    <row r="944">
      <c r="A944" s="23"/>
      <c r="B944" s="43"/>
      <c r="C944" s="43"/>
    </row>
    <row r="945">
      <c r="A945" s="23"/>
      <c r="B945" s="43"/>
      <c r="C945" s="43"/>
    </row>
    <row r="946">
      <c r="A946" s="23"/>
      <c r="B946" s="43"/>
      <c r="C946" s="43"/>
    </row>
    <row r="947">
      <c r="A947" s="23"/>
      <c r="B947" s="43"/>
      <c r="C947" s="43"/>
    </row>
    <row r="948">
      <c r="A948" s="23"/>
      <c r="B948" s="43"/>
      <c r="C948" s="43"/>
    </row>
    <row r="949">
      <c r="A949" s="23"/>
      <c r="B949" s="43"/>
      <c r="C949" s="43"/>
    </row>
    <row r="950">
      <c r="A950" s="23"/>
      <c r="B950" s="43"/>
      <c r="C950" s="43"/>
    </row>
    <row r="951">
      <c r="A951" s="23"/>
      <c r="B951" s="43"/>
      <c r="C951" s="43"/>
    </row>
    <row r="952">
      <c r="A952" s="23"/>
      <c r="B952" s="43"/>
      <c r="C952" s="43"/>
    </row>
    <row r="953">
      <c r="A953" s="23"/>
      <c r="B953" s="43"/>
      <c r="C953" s="43"/>
    </row>
    <row r="954">
      <c r="A954" s="23"/>
      <c r="B954" s="43"/>
      <c r="C954" s="43"/>
    </row>
    <row r="955">
      <c r="A955" s="23"/>
      <c r="B955" s="43"/>
      <c r="C955" s="43"/>
    </row>
    <row r="956">
      <c r="A956" s="23"/>
      <c r="B956" s="43"/>
      <c r="C956" s="43"/>
    </row>
    <row r="957">
      <c r="A957" s="23"/>
      <c r="B957" s="43"/>
      <c r="C957" s="43"/>
    </row>
    <row r="958">
      <c r="A958" s="23"/>
      <c r="B958" s="43"/>
      <c r="C958" s="43"/>
    </row>
    <row r="959">
      <c r="A959" s="23"/>
      <c r="B959" s="43"/>
      <c r="C959" s="43"/>
    </row>
    <row r="960">
      <c r="A960" s="23"/>
      <c r="B960" s="43"/>
      <c r="C960" s="43"/>
    </row>
    <row r="961">
      <c r="A961" s="23"/>
      <c r="B961" s="43"/>
      <c r="C961" s="43"/>
    </row>
    <row r="962">
      <c r="A962" s="23"/>
      <c r="B962" s="43"/>
      <c r="C962" s="43"/>
    </row>
    <row r="963">
      <c r="A963" s="23"/>
      <c r="B963" s="43"/>
      <c r="C963" s="43"/>
    </row>
    <row r="964">
      <c r="A964" s="23"/>
      <c r="B964" s="43"/>
      <c r="C964" s="43"/>
    </row>
    <row r="965">
      <c r="A965" s="23"/>
      <c r="B965" s="43"/>
      <c r="C965" s="43"/>
    </row>
    <row r="966">
      <c r="A966" s="23"/>
      <c r="B966" s="43"/>
      <c r="C966" s="43"/>
    </row>
    <row r="967">
      <c r="A967" s="23"/>
      <c r="B967" s="43"/>
      <c r="C967" s="43"/>
    </row>
    <row r="968">
      <c r="A968" s="23"/>
      <c r="B968" s="43"/>
      <c r="C968" s="43"/>
    </row>
    <row r="969">
      <c r="A969" s="23"/>
      <c r="B969" s="43"/>
      <c r="C969" s="43"/>
    </row>
    <row r="970">
      <c r="A970" s="23"/>
      <c r="B970" s="43"/>
      <c r="C970" s="43"/>
    </row>
    <row r="971">
      <c r="A971" s="23"/>
      <c r="B971" s="43"/>
      <c r="C971" s="43"/>
    </row>
    <row r="972">
      <c r="A972" s="23"/>
      <c r="B972" s="43"/>
      <c r="C972" s="43"/>
    </row>
    <row r="973">
      <c r="A973" s="23"/>
      <c r="B973" s="43"/>
      <c r="C973" s="43"/>
    </row>
    <row r="974">
      <c r="A974" s="23"/>
      <c r="B974" s="43"/>
      <c r="C974" s="43"/>
    </row>
    <row r="975">
      <c r="A975" s="23"/>
      <c r="B975" s="43"/>
      <c r="C975" s="43"/>
    </row>
    <row r="976">
      <c r="A976" s="23"/>
      <c r="B976" s="43"/>
      <c r="C976" s="43"/>
    </row>
    <row r="977">
      <c r="A977" s="23"/>
      <c r="B977" s="43"/>
      <c r="C977" s="43"/>
    </row>
    <row r="978">
      <c r="A978" s="23"/>
      <c r="B978" s="43"/>
      <c r="C978" s="43"/>
    </row>
    <row r="979">
      <c r="A979" s="23"/>
      <c r="B979" s="43"/>
      <c r="C979" s="43"/>
    </row>
    <row r="980">
      <c r="A980" s="23"/>
      <c r="B980" s="43"/>
      <c r="C980" s="43"/>
    </row>
    <row r="981">
      <c r="A981" s="23"/>
      <c r="B981" s="43"/>
      <c r="C981" s="43"/>
    </row>
    <row r="982">
      <c r="A982" s="23"/>
      <c r="B982" s="43"/>
      <c r="C982" s="43"/>
    </row>
    <row r="983">
      <c r="A983" s="23"/>
      <c r="B983" s="43"/>
      <c r="C983" s="43"/>
    </row>
    <row r="984">
      <c r="A984" s="23"/>
      <c r="B984" s="43"/>
      <c r="C984" s="43"/>
    </row>
    <row r="985">
      <c r="A985" s="23"/>
      <c r="B985" s="43"/>
      <c r="C985" s="43"/>
    </row>
    <row r="986">
      <c r="A986" s="23"/>
      <c r="B986" s="43"/>
      <c r="C986" s="43"/>
    </row>
    <row r="987">
      <c r="A987" s="23"/>
      <c r="B987" s="43"/>
      <c r="C987" s="43"/>
    </row>
    <row r="988">
      <c r="A988" s="23"/>
      <c r="B988" s="43"/>
      <c r="C988" s="43"/>
    </row>
    <row r="989">
      <c r="A989" s="23"/>
      <c r="B989" s="43"/>
      <c r="C989" s="43"/>
    </row>
    <row r="990">
      <c r="A990" s="23"/>
      <c r="B990" s="43"/>
      <c r="C990" s="43"/>
    </row>
    <row r="991">
      <c r="A991" s="23"/>
      <c r="B991" s="43"/>
      <c r="C991" s="43"/>
    </row>
    <row r="992">
      <c r="A992" s="23"/>
      <c r="B992" s="43"/>
      <c r="C992" s="43"/>
    </row>
    <row r="993">
      <c r="A993" s="23"/>
      <c r="B993" s="43"/>
      <c r="C993" s="43"/>
    </row>
    <row r="994">
      <c r="A994" s="23"/>
      <c r="B994" s="43"/>
      <c r="C994" s="43"/>
    </row>
    <row r="995">
      <c r="A995" s="23"/>
      <c r="B995" s="43"/>
      <c r="C995" s="43"/>
    </row>
    <row r="996">
      <c r="A996" s="23"/>
      <c r="B996" s="43"/>
      <c r="C996" s="43"/>
    </row>
    <row r="997">
      <c r="A997" s="23"/>
      <c r="B997" s="43"/>
      <c r="C997" s="43"/>
    </row>
    <row r="998">
      <c r="A998" s="23"/>
      <c r="B998" s="43"/>
      <c r="C998" s="43"/>
    </row>
    <row r="999">
      <c r="A999" s="23"/>
      <c r="B999" s="43"/>
      <c r="C999" s="43"/>
    </row>
    <row r="1000">
      <c r="A1000" s="23"/>
      <c r="B1000" s="43"/>
      <c r="C1000" s="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</cols>
  <sheetData>
    <row r="1">
      <c r="A1" s="1" t="s">
        <v>0</v>
      </c>
      <c r="B1" s="35" t="s">
        <v>26</v>
      </c>
      <c r="D1" s="49" t="s">
        <v>45</v>
      </c>
      <c r="N1" s="1" t="s">
        <v>0</v>
      </c>
      <c r="O1" s="36" t="s">
        <v>15</v>
      </c>
      <c r="Q1" s="49" t="s">
        <v>46</v>
      </c>
    </row>
    <row r="2">
      <c r="A2" s="7">
        <v>46091.0</v>
      </c>
      <c r="B2" s="43">
        <f>VLOOKUP(A2,'Return prepared data'!A:L,6,0)</f>
        <v>0.004994173464</v>
      </c>
      <c r="N2" s="7">
        <v>46091.0</v>
      </c>
      <c r="O2" s="43">
        <f>VLOOKUP(N2,'Cov and Correlation'!A:C,3,0)</f>
        <v>0.006273122085</v>
      </c>
    </row>
    <row r="3">
      <c r="A3" s="13">
        <v>46090.0</v>
      </c>
      <c r="B3" s="43">
        <f>VLOOKUP(A3,'Return prepared data'!A:L,6,0)</f>
        <v>-0.005381240169</v>
      </c>
      <c r="N3" s="13">
        <v>46090.0</v>
      </c>
      <c r="O3" s="43">
        <f>VLOOKUP(N3,'Cov and Correlation'!A:C,3,0)</f>
        <v>0.00436187399</v>
      </c>
    </row>
    <row r="4">
      <c r="A4" s="7">
        <v>46083.0</v>
      </c>
      <c r="B4" s="43">
        <f>VLOOKUP(A4,'Return prepared data'!A:L,6,0)</f>
        <v>0.06151682925</v>
      </c>
      <c r="N4" s="7">
        <v>46083.0</v>
      </c>
      <c r="O4" s="43">
        <f>VLOOKUP(N4,'Cov and Correlation'!A:C,3,0)</f>
        <v>-0.03243454474</v>
      </c>
    </row>
    <row r="5">
      <c r="A5" s="13">
        <v>46076.0</v>
      </c>
      <c r="B5" s="43">
        <f>VLOOKUP(A5,'Return prepared data'!A:L,6,0)</f>
        <v>-0.02485217242</v>
      </c>
      <c r="N5" s="13">
        <v>46076.0</v>
      </c>
      <c r="O5" s="43">
        <f>VLOOKUP(N5,'Cov and Correlation'!A:C,3,0)</f>
        <v>0.04032848199</v>
      </c>
    </row>
    <row r="6">
      <c r="A6" s="7">
        <v>46069.0</v>
      </c>
      <c r="B6" s="43">
        <f>VLOOKUP(A6,'Return prepared data'!A:L,6,0)</f>
        <v>0.01832620648</v>
      </c>
      <c r="N6" s="7">
        <v>46069.0</v>
      </c>
      <c r="O6" s="43">
        <f>VLOOKUP(N6,'Cov and Correlation'!A:C,3,0)</f>
        <v>-0.08141011278</v>
      </c>
    </row>
    <row r="7">
      <c r="A7" s="13">
        <v>46062.0</v>
      </c>
      <c r="B7" s="43">
        <f>VLOOKUP(A7,'Return prepared data'!A:L,6,0)</f>
        <v>0.001748404581</v>
      </c>
      <c r="D7" s="3">
        <f>0.18/54</f>
        <v>0.003333333333</v>
      </c>
      <c r="N7" s="13">
        <v>46062.0</v>
      </c>
      <c r="O7" s="43">
        <f>VLOOKUP(N7,'Cov and Correlation'!A:C,3,0)</f>
        <v>0.02065863699</v>
      </c>
      <c r="Q7" s="3">
        <f>0.18/54</f>
        <v>0.003333333333</v>
      </c>
    </row>
    <row r="8">
      <c r="A8" s="7">
        <v>46055.0</v>
      </c>
      <c r="B8" s="43">
        <f>VLOOKUP(A8,'Return prepared data'!A:L,6,0)</f>
        <v>0.09558471411</v>
      </c>
      <c r="D8" s="50" t="s">
        <v>47</v>
      </c>
      <c r="N8" s="7">
        <v>46055.0</v>
      </c>
      <c r="O8" s="43">
        <f>VLOOKUP(N8,'Cov and Correlation'!A:C,3,0)</f>
        <v>0.1010575793</v>
      </c>
      <c r="Q8" s="50" t="s">
        <v>47</v>
      </c>
    </row>
    <row r="9">
      <c r="A9" s="13">
        <v>46048.0</v>
      </c>
      <c r="B9" s="43">
        <f>VLOOKUP(A9,'Return prepared data'!A:L,6,0)</f>
        <v>-0.02429679469</v>
      </c>
      <c r="D9" s="50" t="s">
        <v>48</v>
      </c>
      <c r="N9" s="13">
        <v>46048.0</v>
      </c>
      <c r="O9" s="43">
        <f>VLOOKUP(N9,'Cov and Correlation'!A:C,3,0)</f>
        <v>0.01197655653</v>
      </c>
      <c r="Q9" s="50" t="s">
        <v>48</v>
      </c>
    </row>
    <row r="10">
      <c r="A10" s="7">
        <v>46041.0</v>
      </c>
      <c r="B10" s="43">
        <f>VLOOKUP(A10,'Return prepared data'!A:L,6,0)</f>
        <v>-0.02859477124</v>
      </c>
      <c r="D10" s="51" t="s">
        <v>49</v>
      </c>
      <c r="E10" s="3">
        <v>53.0</v>
      </c>
      <c r="N10" s="7">
        <v>46041.0</v>
      </c>
      <c r="O10" s="43">
        <f>VLOOKUP(N10,'Cov and Correlation'!A:C,3,0)</f>
        <v>-0.01645781119</v>
      </c>
      <c r="Q10" s="51" t="s">
        <v>49</v>
      </c>
      <c r="R10" s="3">
        <v>53.0</v>
      </c>
    </row>
    <row r="11">
      <c r="A11" s="13">
        <v>46034.0</v>
      </c>
      <c r="B11" s="43">
        <f>VLOOKUP(A11,'Return prepared data'!A:L,6,0)</f>
        <v>0.05456634118</v>
      </c>
      <c r="D11" s="51" t="s">
        <v>50</v>
      </c>
      <c r="E11" s="52">
        <f>_xlfn.STDEV.S(B:B)</f>
        <v>0.03401410046</v>
      </c>
      <c r="N11" s="13">
        <v>46034.0</v>
      </c>
      <c r="O11" s="43">
        <f>VLOOKUP(N11,'Cov and Correlation'!A:C,3,0)</f>
        <v>0.04514101109</v>
      </c>
      <c r="Q11" s="51" t="s">
        <v>50</v>
      </c>
      <c r="R11" s="52">
        <f>_xlfn.STDEV.S(O:O)</f>
        <v>0.03413262933</v>
      </c>
    </row>
    <row r="12">
      <c r="A12" s="7">
        <v>46027.0</v>
      </c>
      <c r="B12" s="43">
        <f>VLOOKUP(A12,'Return prepared data'!A:L,6,0)</f>
        <v>0.04984924623</v>
      </c>
      <c r="D12" s="51" t="s">
        <v>51</v>
      </c>
      <c r="E12" s="53">
        <v>0.003333333333</v>
      </c>
      <c r="N12" s="7">
        <v>46027.0</v>
      </c>
      <c r="O12" s="43">
        <f>VLOOKUP(N12,'Cov and Correlation'!A:C,3,0)</f>
        <v>0.01569705569</v>
      </c>
      <c r="Q12" s="51" t="s">
        <v>51</v>
      </c>
      <c r="R12" s="53">
        <v>0.003333333333</v>
      </c>
    </row>
    <row r="13">
      <c r="A13" s="13">
        <v>46020.0</v>
      </c>
      <c r="B13" s="43">
        <f>VLOOKUP(A13,'Return prepared data'!A:L,6,0)</f>
        <v>0.009639776763</v>
      </c>
      <c r="D13" s="51" t="s">
        <v>52</v>
      </c>
      <c r="E13" s="3">
        <v>0.05</v>
      </c>
      <c r="N13" s="13">
        <v>46020.0</v>
      </c>
      <c r="O13" s="43">
        <f>VLOOKUP(N13,'Cov and Correlation'!A:C,3,0)</f>
        <v>0.009128333632</v>
      </c>
      <c r="Q13" s="51" t="s">
        <v>52</v>
      </c>
      <c r="R13" s="3">
        <v>0.05</v>
      </c>
    </row>
    <row r="14">
      <c r="A14" s="7">
        <v>46013.0</v>
      </c>
      <c r="B14" s="43">
        <f>VLOOKUP(A14,'Return prepared data'!A:L,6,0)</f>
        <v>0.01576994434</v>
      </c>
      <c r="D14" s="51" t="s">
        <v>53</v>
      </c>
      <c r="E14" s="41">
        <f>E10-1</f>
        <v>52</v>
      </c>
      <c r="N14" s="7">
        <v>46013.0</v>
      </c>
      <c r="O14" s="43">
        <f>VLOOKUP(N14,'Cov and Correlation'!A:C,3,0)</f>
        <v>-0.02291010843</v>
      </c>
      <c r="Q14" s="51" t="s">
        <v>53</v>
      </c>
      <c r="R14" s="41">
        <f>R10-1</f>
        <v>52</v>
      </c>
    </row>
    <row r="15">
      <c r="A15" s="13">
        <v>46006.0</v>
      </c>
      <c r="B15" s="43">
        <f>VLOOKUP(A15,'Return prepared data'!A:L,6,0)</f>
        <v>0.009468317553</v>
      </c>
      <c r="D15" s="51" t="s">
        <v>54</v>
      </c>
      <c r="E15" s="41">
        <f t="shared" ref="E15:E16" si="1">E11^2</f>
        <v>0.00115695903</v>
      </c>
      <c r="N15" s="13">
        <v>46006.0</v>
      </c>
      <c r="O15" s="43">
        <f>VLOOKUP(N15,'Cov and Correlation'!A:C,3,0)</f>
        <v>-0.0180319423</v>
      </c>
      <c r="Q15" s="51" t="s">
        <v>54</v>
      </c>
      <c r="R15" s="41">
        <f t="shared" ref="R15:R16" si="2">R11^2</f>
        <v>0.001165036385</v>
      </c>
    </row>
    <row r="16">
      <c r="A16" s="7">
        <v>45999.0</v>
      </c>
      <c r="B16" s="43">
        <f>VLOOKUP(A16,'Return prepared data'!A:L,6,0)</f>
        <v>0.05314486084</v>
      </c>
      <c r="D16" s="51" t="s">
        <v>55</v>
      </c>
      <c r="E16" s="41">
        <f t="shared" si="1"/>
        <v>0.00001111111111</v>
      </c>
      <c r="N16" s="7">
        <v>45999.0</v>
      </c>
      <c r="O16" s="43">
        <f>VLOOKUP(N16,'Cov and Correlation'!A:C,3,0)</f>
        <v>0.01375348189</v>
      </c>
      <c r="Q16" s="51" t="s">
        <v>55</v>
      </c>
      <c r="R16" s="41">
        <f t="shared" si="2"/>
        <v>0.00001111111111</v>
      </c>
    </row>
    <row r="17">
      <c r="A17" s="13">
        <v>45992.0</v>
      </c>
      <c r="B17" s="43">
        <f>VLOOKUP(A17,'Return prepared data'!A:L,6,0)</f>
        <v>0.01727789544</v>
      </c>
      <c r="D17" s="51" t="s">
        <v>56</v>
      </c>
      <c r="E17" s="41">
        <f>E14*E15/E16</f>
        <v>5414.568263</v>
      </c>
      <c r="N17" s="13">
        <v>45992.0</v>
      </c>
      <c r="O17" s="43">
        <f>VLOOKUP(N17,'Cov and Correlation'!A:C,3,0)</f>
        <v>0.04161755372</v>
      </c>
      <c r="Q17" s="51" t="s">
        <v>56</v>
      </c>
      <c r="R17" s="41">
        <f>R14*R15/R16</f>
        <v>5452.370282</v>
      </c>
    </row>
    <row r="18">
      <c r="A18" s="7">
        <v>45985.0</v>
      </c>
      <c r="B18" s="43">
        <f>VLOOKUP(A18,'Return prepared data'!A:L,6,0)</f>
        <v>0.03424025824</v>
      </c>
      <c r="D18" s="51" t="s">
        <v>57</v>
      </c>
      <c r="E18" s="54">
        <f>2*_xlfn.CHISQ.DIST.RT(E17,E14)</f>
        <v>0</v>
      </c>
      <c r="N18" s="7">
        <v>45985.0</v>
      </c>
      <c r="O18" s="43">
        <f>VLOOKUP(N18,'Cov and Correlation'!A:C,3,0)</f>
        <v>0.04928170488</v>
      </c>
      <c r="Q18" s="51" t="s">
        <v>57</v>
      </c>
      <c r="R18" s="54">
        <f>2*_xlfn.CHISQ.DIST.RT(R17,R14)</f>
        <v>0</v>
      </c>
    </row>
    <row r="19">
      <c r="A19" s="13">
        <v>45978.0</v>
      </c>
      <c r="B19" s="43">
        <f>VLOOKUP(A19,'Return prepared data'!A:L,6,0)</f>
        <v>-0.01308453749</v>
      </c>
      <c r="D19" s="55"/>
      <c r="N19" s="13">
        <v>45978.0</v>
      </c>
      <c r="O19" s="43">
        <f>VLOOKUP(N19,'Cov and Correlation'!A:C,3,0)</f>
        <v>0.02776962941</v>
      </c>
      <c r="Q19" s="55"/>
    </row>
    <row r="20">
      <c r="A20" s="7">
        <v>45971.0</v>
      </c>
      <c r="B20" s="43">
        <f>VLOOKUP(A20,'Return prepared data'!A:L,6,0)</f>
        <v>-0.01468609865</v>
      </c>
      <c r="D20" s="51" t="s">
        <v>58</v>
      </c>
      <c r="N20" s="7">
        <v>45971.0</v>
      </c>
      <c r="O20" s="43">
        <f>VLOOKUP(N20,'Cov and Correlation'!A:C,3,0)</f>
        <v>-0.001074428599</v>
      </c>
      <c r="Q20" s="51" t="s">
        <v>58</v>
      </c>
    </row>
    <row r="21">
      <c r="A21" s="13">
        <v>45964.0</v>
      </c>
      <c r="B21" s="43">
        <f>VLOOKUP(A21,'Return prepared data'!A:L,6,0)</f>
        <v>-0.0158870256</v>
      </c>
      <c r="D21" s="51" t="s">
        <v>59</v>
      </c>
      <c r="N21" s="13">
        <v>45964.0</v>
      </c>
      <c r="O21" s="43">
        <f>VLOOKUP(N21,'Cov and Correlation'!A:C,3,0)</f>
        <v>0.01396454392</v>
      </c>
      <c r="Q21" s="51" t="s">
        <v>59</v>
      </c>
    </row>
    <row r="22">
      <c r="A22" s="7">
        <v>45957.0</v>
      </c>
      <c r="B22" s="43">
        <f>VLOOKUP(A22,'Return prepared data'!A:L,6,0)</f>
        <v>-0.01638632664</v>
      </c>
      <c r="N22" s="7">
        <v>45957.0</v>
      </c>
      <c r="O22" s="43">
        <f>VLOOKUP(N22,'Cov and Correlation'!A:C,3,0)</f>
        <v>-0.04700330345</v>
      </c>
    </row>
    <row r="23">
      <c r="A23" s="13">
        <v>45950.0</v>
      </c>
      <c r="B23" s="43">
        <f>VLOOKUP(A23,'Return prepared data'!A:L,6,0)</f>
        <v>0.03760837743</v>
      </c>
      <c r="D23" s="51" t="s">
        <v>60</v>
      </c>
      <c r="E23" s="55"/>
      <c r="F23" s="55"/>
      <c r="G23" s="55"/>
      <c r="N23" s="13">
        <v>45950.0</v>
      </c>
      <c r="O23" s="43">
        <f>VLOOKUP(N23,'Cov and Correlation'!A:C,3,0)</f>
        <v>-0.01451027811</v>
      </c>
      <c r="Q23" s="51" t="s">
        <v>60</v>
      </c>
      <c r="R23" s="55"/>
      <c r="S23" s="55"/>
      <c r="T23" s="55"/>
    </row>
    <row r="24">
      <c r="A24" s="7">
        <v>45943.0</v>
      </c>
      <c r="B24" s="43">
        <f>VLOOKUP(A24,'Return prepared data'!A:L,6,0)</f>
        <v>0.06219351752</v>
      </c>
      <c r="D24" s="51" t="s">
        <v>61</v>
      </c>
      <c r="E24" s="55"/>
      <c r="F24" s="55"/>
      <c r="G24" s="55"/>
      <c r="N24" s="7">
        <v>45943.0</v>
      </c>
      <c r="O24" s="43">
        <f>VLOOKUP(N24,'Cov and Correlation'!A:C,3,0)</f>
        <v>0.05785693201</v>
      </c>
      <c r="Q24" s="51" t="s">
        <v>61</v>
      </c>
      <c r="R24" s="55"/>
      <c r="S24" s="55"/>
      <c r="T24" s="55"/>
    </row>
    <row r="25">
      <c r="A25" s="13">
        <v>45936.0</v>
      </c>
      <c r="B25" s="43">
        <f>VLOOKUP(A25,'Return prepared data'!A:L,6,0)</f>
        <v>-0.03940716912</v>
      </c>
      <c r="D25" s="56" t="s">
        <v>62</v>
      </c>
      <c r="N25" s="13">
        <v>45936.0</v>
      </c>
      <c r="O25" s="43">
        <f>VLOOKUP(N25,'Cov and Correlation'!A:C,3,0)</f>
        <v>-0.002258001178</v>
      </c>
      <c r="Q25" s="56" t="s">
        <v>63</v>
      </c>
    </row>
    <row r="26">
      <c r="A26" s="7">
        <v>45929.0</v>
      </c>
      <c r="B26" s="43">
        <f>VLOOKUP(A26,'Return prepared data'!A:L,6,0)</f>
        <v>0.01350721938</v>
      </c>
      <c r="N26" s="7">
        <v>45929.0</v>
      </c>
      <c r="O26" s="43">
        <f>VLOOKUP(N26,'Cov and Correlation'!A:C,3,0)</f>
        <v>-0.01058766391</v>
      </c>
    </row>
    <row r="27">
      <c r="A27" s="13">
        <v>45922.0</v>
      </c>
      <c r="B27" s="43">
        <f>VLOOKUP(A27,'Return prepared data'!A:L,6,0)</f>
        <v>-0.003249767874</v>
      </c>
      <c r="N27" s="13">
        <v>45922.0</v>
      </c>
      <c r="O27" s="43">
        <f>VLOOKUP(N27,'Cov and Correlation'!A:C,3,0)</f>
        <v>0.00812769291</v>
      </c>
    </row>
    <row r="28">
      <c r="A28" s="7">
        <v>45915.0</v>
      </c>
      <c r="B28" s="43">
        <f>VLOOKUP(A28,'Return prepared data'!A:L,6,0)</f>
        <v>-0.020352473</v>
      </c>
      <c r="N28" s="7">
        <v>45915.0</v>
      </c>
      <c r="O28" s="43">
        <f>VLOOKUP(N28,'Cov and Correlation'!A:C,3,0)</f>
        <v>-0.01123160341</v>
      </c>
    </row>
    <row r="29">
      <c r="A29" s="13">
        <v>45908.0</v>
      </c>
      <c r="B29" s="43">
        <f>VLOOKUP(A29,'Return prepared data'!A:L,6,0)</f>
        <v>-0.03436539306</v>
      </c>
      <c r="N29" s="13">
        <v>45908.0</v>
      </c>
      <c r="O29" s="43">
        <f>VLOOKUP(N29,'Cov and Correlation'!A:C,3,0)</f>
        <v>0.02960821453</v>
      </c>
    </row>
    <row r="30">
      <c r="A30" s="7">
        <v>45901.0</v>
      </c>
      <c r="B30" s="43">
        <f>VLOOKUP(A30,'Return prepared data'!A:L,6,0)</f>
        <v>-0.02930832356</v>
      </c>
      <c r="N30" s="7">
        <v>45901.0</v>
      </c>
      <c r="O30" s="43">
        <f>VLOOKUP(N30,'Cov and Correlation'!A:C,3,0)</f>
        <v>0.0364744782</v>
      </c>
    </row>
    <row r="31">
      <c r="A31" s="13">
        <v>45894.0</v>
      </c>
      <c r="B31" s="43">
        <f>VLOOKUP(A31,'Return prepared data'!A:L,6,0)</f>
        <v>-0.03287981859</v>
      </c>
      <c r="N31" s="13">
        <v>45894.0</v>
      </c>
      <c r="O31" s="43">
        <f>VLOOKUP(N31,'Cov and Correlation'!A:C,3,0)</f>
        <v>0.001552312946</v>
      </c>
    </row>
    <row r="32">
      <c r="A32" s="7">
        <v>45887.0</v>
      </c>
      <c r="B32" s="43">
        <f>VLOOKUP(A32,'Return prepared data'!A:L,6,0)</f>
        <v>-0.02619692864</v>
      </c>
      <c r="N32" s="7">
        <v>45887.0</v>
      </c>
      <c r="O32" s="43">
        <f>VLOOKUP(N32,'Cov and Correlation'!A:C,3,0)</f>
        <v>-0.02942948975</v>
      </c>
    </row>
    <row r="33">
      <c r="A33" s="13">
        <v>45880.0</v>
      </c>
      <c r="B33" s="43">
        <f>VLOOKUP(A33,'Return prepared data'!A:L,6,0)</f>
        <v>-0.02256450505</v>
      </c>
      <c r="N33" s="13">
        <v>45880.0</v>
      </c>
      <c r="O33" s="43">
        <f>VLOOKUP(N33,'Cov and Correlation'!A:C,3,0)</f>
        <v>-0.03601859024</v>
      </c>
    </row>
    <row r="34">
      <c r="A34" s="7">
        <v>45873.0</v>
      </c>
      <c r="B34" s="43">
        <f>VLOOKUP(A34,'Return prepared data'!A:L,6,0)</f>
        <v>0.05637889937</v>
      </c>
      <c r="N34" s="7">
        <v>45873.0</v>
      </c>
      <c r="O34" s="43">
        <f>VLOOKUP(N34,'Cov and Correlation'!A:C,3,0)</f>
        <v>0.05323271466</v>
      </c>
    </row>
    <row r="35">
      <c r="A35" s="13">
        <v>45866.0</v>
      </c>
      <c r="B35" s="43">
        <f>VLOOKUP(A35,'Return prepared data'!A:L,6,0)</f>
        <v>-0.05918486739</v>
      </c>
      <c r="N35" s="13">
        <v>45866.0</v>
      </c>
      <c r="O35" s="43">
        <f>VLOOKUP(N35,'Cov and Correlation'!A:C,3,0)</f>
        <v>0.0104070067</v>
      </c>
    </row>
    <row r="36">
      <c r="A36" s="7">
        <v>45859.0</v>
      </c>
      <c r="B36" s="43">
        <f>VLOOKUP(A36,'Return prepared data'!A:L,6,0)</f>
        <v>0.02498500899</v>
      </c>
      <c r="N36" s="7">
        <v>45859.0</v>
      </c>
      <c r="O36" s="43">
        <f>VLOOKUP(N36,'Cov and Correlation'!A:C,3,0)</f>
        <v>0.0254649197</v>
      </c>
    </row>
    <row r="37">
      <c r="A37" s="13">
        <v>45852.0</v>
      </c>
      <c r="B37" s="43">
        <f>VLOOKUP(A37,'Return prepared data'!A:L,6,0)</f>
        <v>-0.007439738121</v>
      </c>
      <c r="N37" s="13">
        <v>45852.0</v>
      </c>
      <c r="O37" s="43">
        <f>VLOOKUP(N37,'Cov and Correlation'!A:C,3,0)</f>
        <v>0.006915629322</v>
      </c>
    </row>
    <row r="38">
      <c r="A38" s="7">
        <v>45845.0</v>
      </c>
      <c r="B38" s="43">
        <f>VLOOKUP(A38,'Return prepared data'!A:L,6,0)</f>
        <v>0.001689189189</v>
      </c>
      <c r="N38" s="7">
        <v>45845.0</v>
      </c>
      <c r="O38" s="43">
        <f>VLOOKUP(N38,'Cov and Correlation'!A:C,3,0)</f>
        <v>-0.04023281936</v>
      </c>
    </row>
    <row r="39">
      <c r="A39" s="13">
        <v>45838.0</v>
      </c>
      <c r="B39" s="43">
        <f>VLOOKUP(A39,'Return prepared data'!A:L,6,0)</f>
        <v>0.04866103991</v>
      </c>
      <c r="N39" s="13">
        <v>45838.0</v>
      </c>
      <c r="O39" s="43">
        <f>VLOOKUP(N39,'Cov and Correlation'!A:C,3,0)</f>
        <v>0.01115126484</v>
      </c>
    </row>
    <row r="40">
      <c r="A40" s="7">
        <v>45831.0</v>
      </c>
      <c r="B40" s="43">
        <f>VLOOKUP(A40,'Return prepared data'!A:L,6,0)</f>
        <v>0.03863636364</v>
      </c>
      <c r="N40" s="7">
        <v>45831.0</v>
      </c>
      <c r="O40" s="43">
        <f>VLOOKUP(N40,'Cov and Correlation'!A:C,3,0)</f>
        <v>0.01201671891</v>
      </c>
    </row>
    <row r="41">
      <c r="A41" s="13">
        <v>45824.0</v>
      </c>
      <c r="B41" s="43">
        <f>VLOOKUP(A41,'Return prepared data'!A:L,6,0)</f>
        <v>0.001843218042</v>
      </c>
      <c r="N41" s="13">
        <v>45824.0</v>
      </c>
      <c r="O41" s="43">
        <f>VLOOKUP(N41,'Cov and Correlation'!A:C,3,0)</f>
        <v>0.01776028927</v>
      </c>
    </row>
    <row r="42">
      <c r="A42" s="7">
        <v>45817.0</v>
      </c>
      <c r="B42" s="43">
        <f>VLOOKUP(A42,'Return prepared data'!A:L,6,0)</f>
        <v>-0.02008074798</v>
      </c>
      <c r="N42" s="7">
        <v>45817.0</v>
      </c>
      <c r="O42" s="43">
        <f>VLOOKUP(N42,'Cov and Correlation'!A:C,3,0)</f>
        <v>-0.03111798042</v>
      </c>
    </row>
    <row r="43">
      <c r="A43" s="13">
        <v>45810.0</v>
      </c>
      <c r="B43" s="43">
        <f>VLOOKUP(A43,'Return prepared data'!A:L,6,0)</f>
        <v>0.03519577651</v>
      </c>
      <c r="N43" s="13">
        <v>45810.0</v>
      </c>
      <c r="O43" s="43">
        <f>VLOOKUP(N43,'Cov and Correlation'!A:C,3,0)</f>
        <v>-0.01261572897</v>
      </c>
    </row>
    <row r="44">
      <c r="A44" s="7">
        <v>45803.0</v>
      </c>
      <c r="B44" s="43">
        <f>VLOOKUP(A44,'Return prepared data'!A:L,6,0)</f>
        <v>-0.002960850971</v>
      </c>
      <c r="N44" s="7">
        <v>45803.0</v>
      </c>
      <c r="O44" s="43">
        <f>VLOOKUP(N44,'Cov and Correlation'!A:C,3,0)</f>
        <v>0.02470809008</v>
      </c>
    </row>
    <row r="45">
      <c r="A45" s="13">
        <v>45796.0</v>
      </c>
      <c r="B45" s="43">
        <f>VLOOKUP(A45,'Return prepared data'!A:L,6,0)</f>
        <v>-0.03256948865</v>
      </c>
      <c r="N45" s="13">
        <v>45796.0</v>
      </c>
      <c r="O45" s="43">
        <f>VLOOKUP(N45,'Cov and Correlation'!A:C,3,0)</f>
        <v>-0.01932317759</v>
      </c>
    </row>
    <row r="46">
      <c r="A46" s="7">
        <v>45789.0</v>
      </c>
      <c r="B46" s="43">
        <f>VLOOKUP(A46,'Return prepared data'!A:L,6,0)</f>
        <v>0.02256454762</v>
      </c>
      <c r="N46" s="7">
        <v>45789.0</v>
      </c>
      <c r="O46" s="43">
        <f>VLOOKUP(N46,'Cov and Correlation'!A:C,3,0)</f>
        <v>0.01811179348</v>
      </c>
    </row>
    <row r="47">
      <c r="A47" s="13">
        <v>45782.0</v>
      </c>
      <c r="B47" s="43">
        <f>VLOOKUP(A47,'Return prepared data'!A:L,6,0)</f>
        <v>-0.009881847476</v>
      </c>
      <c r="N47" s="13">
        <v>45782.0</v>
      </c>
      <c r="O47" s="43">
        <f>VLOOKUP(N47,'Cov and Correlation'!A:C,3,0)</f>
        <v>-0.02049347471</v>
      </c>
    </row>
    <row r="48">
      <c r="A48" s="20">
        <v>45775.0</v>
      </c>
      <c r="B48" s="43">
        <f>VLOOKUP(A48,'Return prepared data'!A:L,6,0)</f>
        <v>0.008121277748</v>
      </c>
      <c r="N48" s="20">
        <v>45775.0</v>
      </c>
      <c r="O48" s="43">
        <f>VLOOKUP(N48,'Cov and Correlation'!A:C,3,0)</f>
        <v>0.03843303335</v>
      </c>
    </row>
    <row r="49">
      <c r="A49" s="13">
        <v>45768.0</v>
      </c>
      <c r="B49" s="43">
        <f>VLOOKUP(A49,'Return prepared data'!A:L,6,0)</f>
        <v>0.03729080085</v>
      </c>
      <c r="N49" s="13">
        <v>45768.0</v>
      </c>
      <c r="O49" s="43">
        <f>VLOOKUP(N49,'Cov and Correlation'!A:C,3,0)</f>
        <v>0.02008856248</v>
      </c>
    </row>
    <row r="50">
      <c r="A50" s="7">
        <v>45761.0</v>
      </c>
      <c r="B50" s="43">
        <f>VLOOKUP(A50,'Return prepared data'!A:L,6,0)</f>
        <v>0.003494138864</v>
      </c>
      <c r="N50" s="7">
        <v>45761.0</v>
      </c>
      <c r="O50" s="43">
        <f>VLOOKUP(N50,'Cov and Correlation'!A:C,3,0)</f>
        <v>0.004556797223</v>
      </c>
    </row>
    <row r="51">
      <c r="A51" s="13">
        <v>45754.0</v>
      </c>
      <c r="B51" s="43">
        <f>VLOOKUP(A51,'Return prepared data'!A:L,6,0)</f>
        <v>-0.03070031684</v>
      </c>
      <c r="N51" s="13">
        <v>45754.0</v>
      </c>
      <c r="O51" s="43">
        <f>VLOOKUP(N51,'Cov and Correlation'!A:C,3,0)</f>
        <v>0.1154544354</v>
      </c>
    </row>
    <row r="52">
      <c r="A52" s="7">
        <v>45747.0</v>
      </c>
      <c r="B52" s="43">
        <f>VLOOKUP(A52,'Return prepared data'!A:L,6,0)</f>
        <v>-0.07648067803</v>
      </c>
      <c r="N52" s="7">
        <v>45747.0</v>
      </c>
      <c r="O52" s="43">
        <f>VLOOKUP(N52,'Cov and Correlation'!A:C,3,0)</f>
        <v>-0.02293957668</v>
      </c>
    </row>
    <row r="53">
      <c r="A53" s="13">
        <v>45740.0</v>
      </c>
      <c r="B53" s="43">
        <f>VLOOKUP(A53,'Return prepared data'!A:L,6,0)</f>
        <v>-0.00391959799</v>
      </c>
      <c r="N53" s="13">
        <v>45740.0</v>
      </c>
      <c r="O53" s="43">
        <f>VLOOKUP(N53,'Cov and Correlation'!A:C,3,0)</f>
        <v>-0.006928135275</v>
      </c>
    </row>
    <row r="54">
      <c r="A54" s="7">
        <v>45733.0</v>
      </c>
      <c r="B54" s="43">
        <f>VLOOKUP(A54,'Return prepared data'!A:L,6,0)</f>
        <v>-0.006093297373</v>
      </c>
      <c r="N54" s="7">
        <v>45733.0</v>
      </c>
      <c r="O54" s="43">
        <f>VLOOKUP(N54,'Cov and Correlation'!A:C,3,0)</f>
        <v>0.007333806482</v>
      </c>
    </row>
    <row r="55">
      <c r="A55" s="47">
        <v>45726.0</v>
      </c>
      <c r="B55" s="43"/>
      <c r="N55" s="47">
        <v>45726.0</v>
      </c>
      <c r="O55" s="43" t="str">
        <f>VLOOKUP(N55,'Cov and Correlation'!A:C,3,0)</f>
        <v/>
      </c>
    </row>
    <row r="56">
      <c r="A56" s="23"/>
      <c r="B56" s="43"/>
      <c r="N56" s="23"/>
      <c r="O56" s="43"/>
    </row>
    <row r="57">
      <c r="A57" s="23"/>
      <c r="B57" s="43"/>
      <c r="N57" s="23"/>
      <c r="O57" s="43"/>
    </row>
    <row r="58">
      <c r="A58" s="26"/>
      <c r="B58" s="43"/>
      <c r="N58" s="26"/>
      <c r="O58" s="43"/>
    </row>
    <row r="59">
      <c r="A59" s="28"/>
      <c r="B59" s="43"/>
      <c r="N59" s="28"/>
      <c r="O59" s="43"/>
    </row>
    <row r="60">
      <c r="A60" s="30"/>
      <c r="B60" s="43"/>
      <c r="N60" s="30"/>
      <c r="O60" s="43"/>
    </row>
    <row r="61">
      <c r="A61" s="32"/>
      <c r="B61" s="43"/>
      <c r="N61" s="32"/>
      <c r="O61" s="43"/>
    </row>
    <row r="62">
      <c r="A62" s="23"/>
      <c r="B62" s="43"/>
      <c r="N62" s="23"/>
      <c r="O62" s="43"/>
    </row>
    <row r="63">
      <c r="A63" s="23"/>
      <c r="B63" s="43"/>
      <c r="N63" s="23"/>
      <c r="O63" s="43"/>
    </row>
    <row r="64">
      <c r="A64" s="23"/>
      <c r="B64" s="43"/>
      <c r="N64" s="23"/>
      <c r="O64" s="43"/>
    </row>
    <row r="65">
      <c r="A65" s="23"/>
      <c r="B65" s="43"/>
      <c r="N65" s="23"/>
      <c r="O65" s="43"/>
    </row>
    <row r="66">
      <c r="A66" s="1"/>
      <c r="B66" s="43"/>
      <c r="N66" s="1"/>
      <c r="O66" s="43"/>
    </row>
    <row r="67">
      <c r="A67" s="23"/>
      <c r="B67" s="43"/>
      <c r="N67" s="23"/>
      <c r="O67" s="43"/>
    </row>
    <row r="68">
      <c r="A68" s="23"/>
      <c r="B68" s="43"/>
      <c r="N68" s="23"/>
      <c r="O68" s="43"/>
    </row>
    <row r="69">
      <c r="A69" s="23"/>
      <c r="B69" s="43"/>
      <c r="N69" s="23"/>
      <c r="O69" s="43"/>
    </row>
    <row r="70">
      <c r="A70" s="23"/>
      <c r="B70" s="43"/>
      <c r="N70" s="23"/>
      <c r="O70" s="43"/>
    </row>
    <row r="71">
      <c r="A71" s="23"/>
      <c r="B71" s="43"/>
      <c r="N71" s="23"/>
      <c r="O71" s="43"/>
    </row>
    <row r="72">
      <c r="A72" s="23"/>
      <c r="B72" s="43"/>
      <c r="N72" s="23"/>
      <c r="O72" s="43"/>
    </row>
    <row r="73">
      <c r="A73" s="23"/>
      <c r="B73" s="43"/>
      <c r="N73" s="23"/>
      <c r="O73" s="43"/>
    </row>
    <row r="74">
      <c r="A74" s="23"/>
      <c r="B74" s="43"/>
      <c r="N74" s="23"/>
      <c r="O74" s="43"/>
    </row>
    <row r="75">
      <c r="A75" s="23"/>
      <c r="B75" s="43"/>
      <c r="N75" s="23"/>
      <c r="O75" s="43"/>
    </row>
    <row r="76">
      <c r="A76" s="23"/>
      <c r="B76" s="43"/>
      <c r="N76" s="23"/>
      <c r="O76" s="43"/>
    </row>
    <row r="77">
      <c r="A77" s="23"/>
      <c r="B77" s="43"/>
      <c r="N77" s="23"/>
      <c r="O77" s="43"/>
    </row>
    <row r="78">
      <c r="A78" s="23"/>
      <c r="B78" s="43"/>
      <c r="N78" s="23"/>
      <c r="O78" s="43"/>
    </row>
    <row r="79">
      <c r="A79" s="23"/>
      <c r="B79" s="43"/>
      <c r="N79" s="23"/>
      <c r="O79" s="43"/>
    </row>
    <row r="80">
      <c r="A80" s="23"/>
      <c r="B80" s="43"/>
      <c r="N80" s="23"/>
      <c r="O80" s="43"/>
    </row>
    <row r="81">
      <c r="A81" s="23"/>
      <c r="B81" s="43"/>
      <c r="N81" s="23"/>
      <c r="O81" s="43"/>
    </row>
    <row r="82">
      <c r="A82" s="23"/>
      <c r="B82" s="43"/>
      <c r="N82" s="23"/>
      <c r="O82" s="43"/>
    </row>
    <row r="83">
      <c r="A83" s="23"/>
      <c r="B83" s="43"/>
      <c r="N83" s="23"/>
      <c r="O83" s="43"/>
    </row>
    <row r="84">
      <c r="A84" s="23"/>
      <c r="B84" s="43"/>
      <c r="N84" s="23"/>
      <c r="O84" s="43"/>
    </row>
    <row r="85">
      <c r="A85" s="23"/>
      <c r="B85" s="43"/>
      <c r="N85" s="23"/>
      <c r="O85" s="43"/>
    </row>
    <row r="86">
      <c r="A86" s="23"/>
      <c r="B86" s="43"/>
      <c r="N86" s="23"/>
      <c r="O86" s="43"/>
    </row>
    <row r="87">
      <c r="A87" s="23"/>
      <c r="B87" s="43"/>
      <c r="N87" s="23"/>
      <c r="O87" s="43"/>
    </row>
    <row r="88">
      <c r="A88" s="23"/>
      <c r="B88" s="43"/>
      <c r="N88" s="23"/>
      <c r="O88" s="43"/>
    </row>
    <row r="89">
      <c r="A89" s="23"/>
      <c r="B89" s="43"/>
      <c r="N89" s="23"/>
      <c r="O89" s="43"/>
    </row>
    <row r="90">
      <c r="A90" s="23"/>
      <c r="B90" s="43"/>
      <c r="N90" s="23"/>
      <c r="O90" s="43"/>
    </row>
    <row r="91">
      <c r="A91" s="23"/>
      <c r="B91" s="43"/>
      <c r="N91" s="23"/>
      <c r="O91" s="43"/>
    </row>
    <row r="92">
      <c r="A92" s="23"/>
      <c r="B92" s="43"/>
      <c r="N92" s="23"/>
      <c r="O92" s="43"/>
    </row>
    <row r="93">
      <c r="A93" s="23"/>
      <c r="B93" s="43"/>
      <c r="N93" s="23"/>
      <c r="O93" s="43"/>
    </row>
    <row r="94">
      <c r="A94" s="23"/>
      <c r="B94" s="43"/>
      <c r="N94" s="23"/>
      <c r="O94" s="43"/>
    </row>
    <row r="95">
      <c r="A95" s="23"/>
      <c r="B95" s="43"/>
      <c r="N95" s="23"/>
      <c r="O95" s="43"/>
    </row>
    <row r="96">
      <c r="A96" s="23"/>
      <c r="B96" s="43"/>
      <c r="N96" s="23"/>
      <c r="O96" s="43"/>
    </row>
    <row r="97">
      <c r="A97" s="23"/>
      <c r="B97" s="43"/>
      <c r="N97" s="23"/>
      <c r="O97" s="43"/>
    </row>
    <row r="98">
      <c r="A98" s="23"/>
      <c r="B98" s="43"/>
      <c r="N98" s="23"/>
      <c r="O98" s="43"/>
    </row>
    <row r="99">
      <c r="A99" s="23"/>
      <c r="B99" s="43"/>
      <c r="N99" s="23"/>
      <c r="O99" s="43"/>
    </row>
    <row r="100">
      <c r="A100" s="23"/>
      <c r="B100" s="43"/>
      <c r="N100" s="23"/>
      <c r="O100" s="43"/>
    </row>
    <row r="101">
      <c r="A101" s="23"/>
      <c r="B101" s="43"/>
      <c r="N101" s="23"/>
      <c r="O101" s="43"/>
    </row>
    <row r="102">
      <c r="A102" s="23"/>
      <c r="B102" s="43"/>
      <c r="N102" s="23"/>
      <c r="O102" s="43"/>
    </row>
    <row r="103">
      <c r="A103" s="23"/>
      <c r="B103" s="43"/>
      <c r="N103" s="23"/>
      <c r="O103" s="43"/>
    </row>
    <row r="104">
      <c r="A104" s="23"/>
      <c r="B104" s="43"/>
      <c r="N104" s="23"/>
      <c r="O104" s="43"/>
    </row>
    <row r="105">
      <c r="A105" s="23"/>
      <c r="B105" s="43"/>
      <c r="N105" s="23"/>
      <c r="O105" s="43"/>
    </row>
    <row r="106">
      <c r="A106" s="23"/>
      <c r="B106" s="43"/>
      <c r="N106" s="23"/>
      <c r="O106" s="43"/>
    </row>
    <row r="107">
      <c r="A107" s="23"/>
      <c r="B107" s="43"/>
      <c r="N107" s="23"/>
      <c r="O107" s="43"/>
    </row>
    <row r="108">
      <c r="A108" s="23"/>
      <c r="B108" s="43"/>
      <c r="N108" s="23"/>
      <c r="O108" s="43"/>
    </row>
    <row r="109">
      <c r="A109" s="23"/>
      <c r="B109" s="43"/>
      <c r="N109" s="23"/>
      <c r="O109" s="43"/>
    </row>
    <row r="110">
      <c r="A110" s="23"/>
      <c r="B110" s="43"/>
      <c r="N110" s="23"/>
      <c r="O110" s="43"/>
    </row>
    <row r="111">
      <c r="A111" s="23"/>
      <c r="B111" s="43"/>
      <c r="N111" s="23"/>
      <c r="O111" s="43"/>
    </row>
    <row r="112">
      <c r="A112" s="23"/>
      <c r="B112" s="43"/>
      <c r="N112" s="23"/>
      <c r="O112" s="43"/>
    </row>
    <row r="113">
      <c r="A113" s="23"/>
      <c r="B113" s="43"/>
      <c r="N113" s="23"/>
      <c r="O113" s="43"/>
    </row>
    <row r="114">
      <c r="A114" s="23"/>
      <c r="B114" s="43"/>
      <c r="N114" s="23"/>
      <c r="O114" s="43"/>
    </row>
    <row r="115">
      <c r="A115" s="23"/>
      <c r="B115" s="43"/>
      <c r="N115" s="23"/>
      <c r="O115" s="43"/>
    </row>
    <row r="116">
      <c r="A116" s="23"/>
      <c r="B116" s="43"/>
      <c r="N116" s="23"/>
      <c r="O116" s="43"/>
    </row>
    <row r="117">
      <c r="A117" s="23"/>
      <c r="B117" s="43"/>
      <c r="N117" s="23"/>
      <c r="O117" s="43"/>
    </row>
    <row r="118">
      <c r="A118" s="23"/>
      <c r="B118" s="43"/>
      <c r="N118" s="23"/>
      <c r="O118" s="43"/>
    </row>
    <row r="119">
      <c r="A119" s="23"/>
      <c r="B119" s="43"/>
      <c r="N119" s="23"/>
      <c r="O119" s="43"/>
    </row>
    <row r="120">
      <c r="A120" s="23"/>
      <c r="B120" s="43"/>
      <c r="N120" s="23"/>
      <c r="O120" s="43"/>
    </row>
    <row r="121">
      <c r="A121" s="23"/>
      <c r="B121" s="43"/>
      <c r="N121" s="23"/>
      <c r="O121" s="43"/>
    </row>
    <row r="122">
      <c r="A122" s="23"/>
      <c r="B122" s="43"/>
      <c r="N122" s="23"/>
      <c r="O122" s="43"/>
    </row>
    <row r="123">
      <c r="A123" s="23"/>
      <c r="B123" s="43"/>
      <c r="N123" s="23"/>
      <c r="O123" s="43"/>
    </row>
    <row r="124">
      <c r="A124" s="23"/>
      <c r="B124" s="43"/>
      <c r="N124" s="23"/>
      <c r="O124" s="43"/>
    </row>
    <row r="125">
      <c r="A125" s="23"/>
      <c r="B125" s="43"/>
      <c r="N125" s="23"/>
      <c r="O125" s="43"/>
    </row>
    <row r="126">
      <c r="A126" s="23"/>
      <c r="B126" s="43"/>
      <c r="N126" s="23"/>
      <c r="O126" s="43"/>
    </row>
    <row r="127">
      <c r="A127" s="23"/>
      <c r="B127" s="43"/>
      <c r="N127" s="23"/>
      <c r="O127" s="43"/>
    </row>
    <row r="128">
      <c r="A128" s="23"/>
      <c r="B128" s="43"/>
      <c r="N128" s="23"/>
      <c r="O128" s="43"/>
    </row>
    <row r="129">
      <c r="A129" s="23"/>
      <c r="B129" s="43"/>
      <c r="N129" s="23"/>
      <c r="O129" s="43"/>
    </row>
    <row r="130">
      <c r="A130" s="23"/>
      <c r="B130" s="43"/>
      <c r="N130" s="23"/>
      <c r="O130" s="43"/>
    </row>
    <row r="131">
      <c r="A131" s="23"/>
      <c r="B131" s="43"/>
      <c r="N131" s="23"/>
      <c r="O131" s="43"/>
    </row>
    <row r="132">
      <c r="A132" s="23"/>
      <c r="B132" s="43"/>
      <c r="N132" s="23"/>
      <c r="O132" s="43"/>
    </row>
    <row r="133">
      <c r="A133" s="23"/>
      <c r="B133" s="43"/>
      <c r="N133" s="23"/>
      <c r="O133" s="43"/>
    </row>
    <row r="134">
      <c r="A134" s="23"/>
      <c r="B134" s="43"/>
      <c r="N134" s="23"/>
      <c r="O134" s="43"/>
    </row>
    <row r="135">
      <c r="A135" s="23"/>
      <c r="B135" s="43"/>
      <c r="N135" s="23"/>
      <c r="O135" s="43"/>
    </row>
    <row r="136">
      <c r="A136" s="23"/>
      <c r="B136" s="43"/>
      <c r="N136" s="23"/>
      <c r="O136" s="43"/>
    </row>
    <row r="137">
      <c r="A137" s="23"/>
      <c r="B137" s="43"/>
      <c r="N137" s="23"/>
      <c r="O137" s="43"/>
    </row>
    <row r="138">
      <c r="A138" s="23"/>
      <c r="B138" s="43"/>
      <c r="N138" s="23"/>
      <c r="O138" s="43"/>
    </row>
    <row r="139">
      <c r="A139" s="23"/>
      <c r="B139" s="43"/>
      <c r="N139" s="23"/>
      <c r="O139" s="43"/>
    </row>
    <row r="140">
      <c r="A140" s="23"/>
      <c r="B140" s="43"/>
      <c r="N140" s="23"/>
      <c r="O140" s="43"/>
    </row>
    <row r="141">
      <c r="A141" s="23"/>
      <c r="B141" s="43"/>
      <c r="N141" s="23"/>
      <c r="O141" s="43"/>
    </row>
    <row r="142">
      <c r="A142" s="23"/>
      <c r="B142" s="43"/>
      <c r="N142" s="23"/>
      <c r="O142" s="43"/>
    </row>
    <row r="143">
      <c r="A143" s="23"/>
      <c r="B143" s="43"/>
      <c r="N143" s="23"/>
      <c r="O143" s="43"/>
    </row>
    <row r="144">
      <c r="A144" s="23"/>
      <c r="B144" s="43"/>
      <c r="N144" s="23"/>
      <c r="O144" s="43"/>
    </row>
    <row r="145">
      <c r="A145" s="23"/>
      <c r="B145" s="43"/>
      <c r="N145" s="23"/>
      <c r="O145" s="43"/>
    </row>
    <row r="146">
      <c r="A146" s="23"/>
      <c r="B146" s="43"/>
      <c r="N146" s="23"/>
      <c r="O146" s="43"/>
    </row>
    <row r="147">
      <c r="A147" s="23"/>
      <c r="B147" s="43"/>
      <c r="N147" s="23"/>
      <c r="O147" s="43"/>
    </row>
    <row r="148">
      <c r="A148" s="23"/>
      <c r="B148" s="43"/>
      <c r="N148" s="23"/>
      <c r="O148" s="43"/>
    </row>
    <row r="149">
      <c r="A149" s="23"/>
      <c r="B149" s="43"/>
      <c r="N149" s="23"/>
      <c r="O149" s="43"/>
    </row>
    <row r="150">
      <c r="A150" s="23"/>
      <c r="B150" s="43"/>
      <c r="N150" s="23"/>
      <c r="O150" s="43"/>
    </row>
    <row r="151">
      <c r="A151" s="23"/>
      <c r="B151" s="43"/>
      <c r="N151" s="23"/>
      <c r="O151" s="43"/>
    </row>
    <row r="152">
      <c r="A152" s="23"/>
      <c r="B152" s="43"/>
      <c r="N152" s="23"/>
      <c r="O152" s="43"/>
    </row>
    <row r="153">
      <c r="A153" s="23"/>
      <c r="B153" s="43"/>
      <c r="N153" s="23"/>
      <c r="O153" s="43"/>
    </row>
    <row r="154">
      <c r="A154" s="23"/>
      <c r="B154" s="43"/>
      <c r="N154" s="23"/>
      <c r="O154" s="43"/>
    </row>
    <row r="155">
      <c r="A155" s="23"/>
      <c r="B155" s="43"/>
      <c r="N155" s="23"/>
      <c r="O155" s="43"/>
    </row>
    <row r="156">
      <c r="A156" s="23"/>
      <c r="B156" s="43"/>
      <c r="N156" s="23"/>
      <c r="O156" s="43"/>
    </row>
    <row r="157">
      <c r="A157" s="23"/>
      <c r="B157" s="43"/>
      <c r="N157" s="23"/>
      <c r="O157" s="43"/>
    </row>
    <row r="158">
      <c r="A158" s="23"/>
      <c r="B158" s="43"/>
      <c r="N158" s="23"/>
      <c r="O158" s="43"/>
    </row>
    <row r="159">
      <c r="A159" s="23"/>
      <c r="B159" s="43"/>
      <c r="N159" s="23"/>
      <c r="O159" s="43"/>
    </row>
    <row r="160">
      <c r="A160" s="23"/>
      <c r="B160" s="43"/>
      <c r="N160" s="23"/>
      <c r="O160" s="43"/>
    </row>
    <row r="161">
      <c r="A161" s="23"/>
      <c r="B161" s="43"/>
      <c r="N161" s="23"/>
      <c r="O161" s="43"/>
    </row>
    <row r="162">
      <c r="A162" s="23"/>
      <c r="B162" s="43"/>
      <c r="N162" s="23"/>
      <c r="O162" s="43"/>
    </row>
    <row r="163">
      <c r="A163" s="23"/>
      <c r="B163" s="43"/>
      <c r="N163" s="23"/>
      <c r="O163" s="43"/>
    </row>
    <row r="164">
      <c r="A164" s="23"/>
      <c r="B164" s="43"/>
      <c r="N164" s="23"/>
      <c r="O164" s="43"/>
    </row>
    <row r="165">
      <c r="A165" s="23"/>
      <c r="B165" s="43"/>
      <c r="N165" s="23"/>
      <c r="O165" s="43"/>
    </row>
    <row r="166">
      <c r="A166" s="23"/>
      <c r="B166" s="43"/>
      <c r="N166" s="23"/>
      <c r="O166" s="43"/>
    </row>
    <row r="167">
      <c r="A167" s="23"/>
      <c r="B167" s="43"/>
      <c r="N167" s="23"/>
      <c r="O167" s="43"/>
    </row>
    <row r="168">
      <c r="A168" s="23"/>
      <c r="B168" s="43"/>
      <c r="N168" s="23"/>
      <c r="O168" s="43"/>
    </row>
    <row r="169">
      <c r="A169" s="23"/>
      <c r="B169" s="43"/>
      <c r="N169" s="23"/>
      <c r="O169" s="43"/>
    </row>
    <row r="170">
      <c r="A170" s="23"/>
      <c r="B170" s="43"/>
      <c r="N170" s="23"/>
      <c r="O170" s="43"/>
    </row>
    <row r="171">
      <c r="A171" s="23"/>
      <c r="B171" s="43"/>
      <c r="N171" s="23"/>
      <c r="O171" s="43"/>
    </row>
    <row r="172">
      <c r="A172" s="23"/>
      <c r="B172" s="43"/>
      <c r="N172" s="23"/>
      <c r="O172" s="43"/>
    </row>
    <row r="173">
      <c r="A173" s="23"/>
      <c r="B173" s="43"/>
      <c r="N173" s="23"/>
      <c r="O173" s="43"/>
    </row>
    <row r="174">
      <c r="A174" s="23"/>
      <c r="B174" s="43"/>
      <c r="N174" s="23"/>
      <c r="O174" s="43"/>
    </row>
    <row r="175">
      <c r="A175" s="23"/>
      <c r="B175" s="43"/>
      <c r="N175" s="23"/>
      <c r="O175" s="43"/>
    </row>
    <row r="176">
      <c r="A176" s="23"/>
      <c r="B176" s="43"/>
      <c r="N176" s="23"/>
      <c r="O176" s="43"/>
    </row>
    <row r="177">
      <c r="A177" s="23"/>
      <c r="B177" s="43"/>
      <c r="N177" s="23"/>
      <c r="O177" s="43"/>
    </row>
    <row r="178">
      <c r="A178" s="23"/>
      <c r="B178" s="43"/>
      <c r="N178" s="23"/>
      <c r="O178" s="43"/>
    </row>
    <row r="179">
      <c r="A179" s="23"/>
      <c r="B179" s="43"/>
      <c r="N179" s="23"/>
      <c r="O179" s="43"/>
    </row>
    <row r="180">
      <c r="A180" s="23"/>
      <c r="B180" s="43"/>
      <c r="N180" s="23"/>
      <c r="O180" s="43"/>
    </row>
    <row r="181">
      <c r="A181" s="23"/>
      <c r="B181" s="43"/>
      <c r="N181" s="23"/>
      <c r="O181" s="43"/>
    </row>
    <row r="182">
      <c r="A182" s="23"/>
      <c r="B182" s="43"/>
      <c r="N182" s="23"/>
      <c r="O182" s="43"/>
    </row>
    <row r="183">
      <c r="A183" s="23"/>
      <c r="B183" s="43"/>
      <c r="N183" s="23"/>
      <c r="O183" s="43"/>
    </row>
    <row r="184">
      <c r="A184" s="23"/>
      <c r="B184" s="43"/>
      <c r="N184" s="23"/>
      <c r="O184" s="43"/>
    </row>
    <row r="185">
      <c r="A185" s="23"/>
      <c r="B185" s="43"/>
      <c r="N185" s="23"/>
      <c r="O185" s="43"/>
    </row>
    <row r="186">
      <c r="A186" s="23"/>
      <c r="B186" s="43"/>
      <c r="N186" s="23"/>
      <c r="O186" s="43"/>
    </row>
    <row r="187">
      <c r="A187" s="23"/>
      <c r="B187" s="43"/>
      <c r="N187" s="23"/>
      <c r="O187" s="43"/>
    </row>
    <row r="188">
      <c r="A188" s="23"/>
      <c r="B188" s="43"/>
      <c r="N188" s="23"/>
      <c r="O188" s="43"/>
    </row>
    <row r="189">
      <c r="A189" s="23"/>
      <c r="B189" s="43"/>
      <c r="N189" s="23"/>
      <c r="O189" s="43"/>
    </row>
    <row r="190">
      <c r="A190" s="23"/>
      <c r="B190" s="43"/>
      <c r="N190" s="23"/>
      <c r="O190" s="43"/>
    </row>
    <row r="191">
      <c r="A191" s="23"/>
      <c r="B191" s="43"/>
      <c r="N191" s="23"/>
      <c r="O191" s="43"/>
    </row>
    <row r="192">
      <c r="A192" s="23"/>
      <c r="B192" s="43"/>
      <c r="N192" s="23"/>
      <c r="O192" s="43"/>
    </row>
    <row r="193">
      <c r="A193" s="23"/>
      <c r="B193" s="43"/>
      <c r="N193" s="23"/>
      <c r="O193" s="43"/>
    </row>
    <row r="194">
      <c r="A194" s="23"/>
      <c r="B194" s="43"/>
      <c r="N194" s="23"/>
      <c r="O194" s="43"/>
    </row>
    <row r="195">
      <c r="A195" s="23"/>
      <c r="B195" s="43"/>
      <c r="N195" s="23"/>
      <c r="O195" s="43"/>
    </row>
    <row r="196">
      <c r="A196" s="23"/>
      <c r="B196" s="43"/>
      <c r="N196" s="23"/>
      <c r="O196" s="43"/>
    </row>
    <row r="197">
      <c r="A197" s="23"/>
      <c r="B197" s="43"/>
      <c r="N197" s="23"/>
      <c r="O197" s="43"/>
    </row>
    <row r="198">
      <c r="A198" s="23"/>
      <c r="B198" s="43"/>
      <c r="N198" s="23"/>
      <c r="O198" s="43"/>
    </row>
    <row r="199">
      <c r="A199" s="23"/>
      <c r="B199" s="43"/>
      <c r="N199" s="23"/>
      <c r="O199" s="43"/>
    </row>
    <row r="200">
      <c r="A200" s="23"/>
      <c r="B200" s="43"/>
      <c r="N200" s="23"/>
      <c r="O200" s="43"/>
    </row>
    <row r="201">
      <c r="A201" s="23"/>
      <c r="B201" s="43"/>
      <c r="N201" s="23"/>
      <c r="O201" s="43"/>
    </row>
    <row r="202">
      <c r="A202" s="23"/>
      <c r="B202" s="43"/>
      <c r="N202" s="23"/>
      <c r="O202" s="43"/>
    </row>
    <row r="203">
      <c r="A203" s="23"/>
      <c r="B203" s="43"/>
      <c r="N203" s="23"/>
      <c r="O203" s="43"/>
    </row>
    <row r="204">
      <c r="A204" s="23"/>
      <c r="B204" s="43"/>
      <c r="N204" s="23"/>
      <c r="O204" s="43"/>
    </row>
    <row r="205">
      <c r="A205" s="23"/>
      <c r="B205" s="43"/>
      <c r="N205" s="23"/>
      <c r="O205" s="43"/>
    </row>
    <row r="206">
      <c r="A206" s="23"/>
      <c r="B206" s="43"/>
      <c r="N206" s="23"/>
      <c r="O206" s="43"/>
    </row>
    <row r="207">
      <c r="A207" s="23"/>
      <c r="B207" s="43"/>
      <c r="N207" s="23"/>
      <c r="O207" s="43"/>
    </row>
    <row r="208">
      <c r="A208" s="23"/>
      <c r="B208" s="43"/>
      <c r="N208" s="23"/>
      <c r="O208" s="43"/>
    </row>
    <row r="209">
      <c r="A209" s="23"/>
      <c r="B209" s="43"/>
      <c r="N209" s="23"/>
      <c r="O209" s="43"/>
    </row>
    <row r="210">
      <c r="A210" s="23"/>
      <c r="B210" s="43"/>
      <c r="N210" s="23"/>
      <c r="O210" s="43"/>
    </row>
    <row r="211">
      <c r="A211" s="23"/>
      <c r="B211" s="43"/>
      <c r="N211" s="23"/>
      <c r="O211" s="43"/>
    </row>
    <row r="212">
      <c r="A212" s="23"/>
      <c r="B212" s="43"/>
      <c r="N212" s="23"/>
      <c r="O212" s="43"/>
    </row>
    <row r="213">
      <c r="A213" s="23"/>
      <c r="B213" s="43"/>
      <c r="N213" s="23"/>
      <c r="O213" s="43"/>
    </row>
    <row r="214">
      <c r="A214" s="23"/>
      <c r="B214" s="43"/>
      <c r="N214" s="23"/>
      <c r="O214" s="43"/>
    </row>
    <row r="215">
      <c r="A215" s="23"/>
      <c r="B215" s="43"/>
      <c r="N215" s="23"/>
      <c r="O215" s="43"/>
    </row>
    <row r="216">
      <c r="A216" s="23"/>
      <c r="B216" s="43"/>
      <c r="N216" s="23"/>
      <c r="O216" s="43"/>
    </row>
    <row r="217">
      <c r="A217" s="23"/>
      <c r="B217" s="43"/>
      <c r="N217" s="23"/>
      <c r="O217" s="43"/>
    </row>
    <row r="218">
      <c r="A218" s="23"/>
      <c r="B218" s="43"/>
      <c r="N218" s="23"/>
      <c r="O218" s="43"/>
    </row>
    <row r="219">
      <c r="A219" s="23"/>
      <c r="B219" s="43"/>
      <c r="N219" s="23"/>
      <c r="O219" s="43"/>
    </row>
    <row r="220">
      <c r="A220" s="23"/>
      <c r="B220" s="43"/>
      <c r="N220" s="23"/>
      <c r="O220" s="43"/>
    </row>
    <row r="221">
      <c r="A221" s="23"/>
      <c r="B221" s="43"/>
      <c r="N221" s="23"/>
      <c r="O221" s="43"/>
    </row>
    <row r="222">
      <c r="A222" s="23"/>
      <c r="B222" s="43"/>
      <c r="N222" s="23"/>
      <c r="O222" s="43"/>
    </row>
    <row r="223">
      <c r="A223" s="23"/>
      <c r="B223" s="43"/>
      <c r="N223" s="23"/>
      <c r="O223" s="43"/>
    </row>
    <row r="224">
      <c r="A224" s="23"/>
      <c r="B224" s="43"/>
      <c r="N224" s="23"/>
      <c r="O224" s="43"/>
    </row>
    <row r="225">
      <c r="A225" s="23"/>
      <c r="B225" s="43"/>
      <c r="N225" s="23"/>
      <c r="O225" s="43"/>
    </row>
    <row r="226">
      <c r="A226" s="23"/>
      <c r="B226" s="43"/>
      <c r="N226" s="23"/>
      <c r="O226" s="43"/>
    </row>
    <row r="227">
      <c r="A227" s="23"/>
      <c r="B227" s="43"/>
      <c r="N227" s="23"/>
      <c r="O227" s="43"/>
    </row>
    <row r="228">
      <c r="A228" s="23"/>
      <c r="B228" s="43"/>
      <c r="N228" s="23"/>
      <c r="O228" s="43"/>
    </row>
    <row r="229">
      <c r="A229" s="23"/>
      <c r="B229" s="43"/>
      <c r="N229" s="23"/>
      <c r="O229" s="43"/>
    </row>
    <row r="230">
      <c r="A230" s="23"/>
      <c r="B230" s="43"/>
      <c r="N230" s="23"/>
      <c r="O230" s="43"/>
    </row>
    <row r="231">
      <c r="A231" s="23"/>
      <c r="B231" s="43"/>
      <c r="N231" s="23"/>
      <c r="O231" s="43"/>
    </row>
    <row r="232">
      <c r="A232" s="23"/>
      <c r="B232" s="43"/>
      <c r="N232" s="23"/>
      <c r="O232" s="43"/>
    </row>
    <row r="233">
      <c r="A233" s="23"/>
      <c r="B233" s="43"/>
      <c r="N233" s="23"/>
      <c r="O233" s="43"/>
    </row>
    <row r="234">
      <c r="A234" s="23"/>
      <c r="B234" s="43"/>
      <c r="N234" s="23"/>
      <c r="O234" s="43"/>
    </row>
    <row r="235">
      <c r="A235" s="23"/>
      <c r="B235" s="43"/>
      <c r="N235" s="23"/>
      <c r="O235" s="43"/>
    </row>
    <row r="236">
      <c r="A236" s="23"/>
      <c r="B236" s="43"/>
      <c r="N236" s="23"/>
      <c r="O236" s="43"/>
    </row>
    <row r="237">
      <c r="A237" s="23"/>
      <c r="B237" s="43"/>
      <c r="N237" s="23"/>
      <c r="O237" s="43"/>
    </row>
    <row r="238">
      <c r="A238" s="23"/>
      <c r="B238" s="43"/>
      <c r="N238" s="23"/>
      <c r="O238" s="43"/>
    </row>
    <row r="239">
      <c r="A239" s="23"/>
      <c r="B239" s="43"/>
      <c r="N239" s="23"/>
      <c r="O239" s="43"/>
    </row>
    <row r="240">
      <c r="A240" s="23"/>
      <c r="B240" s="43"/>
      <c r="N240" s="23"/>
      <c r="O240" s="43"/>
    </row>
    <row r="241">
      <c r="A241" s="23"/>
      <c r="B241" s="43"/>
      <c r="N241" s="23"/>
      <c r="O241" s="43"/>
    </row>
    <row r="242">
      <c r="A242" s="23"/>
      <c r="B242" s="43"/>
      <c r="N242" s="23"/>
      <c r="O242" s="43"/>
    </row>
    <row r="243">
      <c r="A243" s="23"/>
      <c r="B243" s="43"/>
      <c r="N243" s="23"/>
      <c r="O243" s="43"/>
    </row>
    <row r="244">
      <c r="A244" s="23"/>
      <c r="B244" s="43"/>
      <c r="N244" s="23"/>
      <c r="O244" s="43"/>
    </row>
    <row r="245">
      <c r="A245" s="23"/>
      <c r="B245" s="43"/>
      <c r="N245" s="23"/>
      <c r="O245" s="43"/>
    </row>
    <row r="246">
      <c r="A246" s="23"/>
      <c r="B246" s="43"/>
      <c r="N246" s="23"/>
      <c r="O246" s="43"/>
    </row>
    <row r="247">
      <c r="A247" s="23"/>
      <c r="B247" s="43"/>
      <c r="N247" s="23"/>
      <c r="O247" s="43"/>
    </row>
    <row r="248">
      <c r="A248" s="23"/>
      <c r="B248" s="43"/>
      <c r="N248" s="23"/>
      <c r="O248" s="43"/>
    </row>
    <row r="249">
      <c r="A249" s="23"/>
      <c r="B249" s="43"/>
      <c r="N249" s="23"/>
      <c r="O249" s="43"/>
    </row>
    <row r="250">
      <c r="A250" s="23"/>
      <c r="B250" s="43"/>
      <c r="N250" s="23"/>
      <c r="O250" s="43"/>
    </row>
    <row r="251">
      <c r="A251" s="23"/>
      <c r="B251" s="43"/>
      <c r="N251" s="23"/>
      <c r="O251" s="43"/>
    </row>
    <row r="252">
      <c r="A252" s="23"/>
      <c r="B252" s="43"/>
      <c r="N252" s="23"/>
      <c r="O252" s="43"/>
    </row>
    <row r="253">
      <c r="A253" s="23"/>
      <c r="B253" s="43"/>
      <c r="N253" s="23"/>
      <c r="O253" s="43"/>
    </row>
    <row r="254">
      <c r="A254" s="23"/>
      <c r="B254" s="43"/>
      <c r="N254" s="23"/>
      <c r="O254" s="43"/>
    </row>
    <row r="255">
      <c r="A255" s="23"/>
      <c r="B255" s="43"/>
      <c r="N255" s="23"/>
      <c r="O255" s="43"/>
    </row>
    <row r="256">
      <c r="A256" s="23"/>
      <c r="B256" s="43"/>
      <c r="N256" s="23"/>
      <c r="O256" s="43"/>
    </row>
    <row r="257">
      <c r="A257" s="23"/>
      <c r="B257" s="43"/>
      <c r="N257" s="23"/>
      <c r="O257" s="43"/>
    </row>
    <row r="258">
      <c r="A258" s="23"/>
      <c r="B258" s="43"/>
      <c r="N258" s="23"/>
      <c r="O258" s="43"/>
    </row>
    <row r="259">
      <c r="A259" s="23"/>
      <c r="B259" s="43"/>
      <c r="N259" s="23"/>
      <c r="O259" s="43"/>
    </row>
    <row r="260">
      <c r="A260" s="23"/>
      <c r="B260" s="43"/>
      <c r="N260" s="23"/>
      <c r="O260" s="43"/>
    </row>
    <row r="261">
      <c r="A261" s="23"/>
      <c r="B261" s="43"/>
      <c r="N261" s="23"/>
      <c r="O261" s="43"/>
    </row>
    <row r="262">
      <c r="A262" s="23"/>
      <c r="B262" s="43"/>
      <c r="N262" s="23"/>
      <c r="O262" s="43"/>
    </row>
    <row r="263">
      <c r="A263" s="23"/>
      <c r="B263" s="43"/>
      <c r="N263" s="23"/>
      <c r="O263" s="43"/>
    </row>
    <row r="264">
      <c r="A264" s="23"/>
      <c r="B264" s="43"/>
      <c r="N264" s="23"/>
      <c r="O264" s="43"/>
    </row>
    <row r="265">
      <c r="A265" s="23"/>
      <c r="B265" s="43"/>
      <c r="N265" s="23"/>
      <c r="O265" s="43"/>
    </row>
    <row r="266">
      <c r="A266" s="23"/>
      <c r="B266" s="43"/>
      <c r="N266" s="23"/>
      <c r="O266" s="43"/>
    </row>
    <row r="267">
      <c r="A267" s="23"/>
      <c r="B267" s="43"/>
      <c r="N267" s="23"/>
      <c r="O267" s="43"/>
    </row>
    <row r="268">
      <c r="A268" s="23"/>
      <c r="B268" s="43"/>
      <c r="N268" s="23"/>
      <c r="O268" s="43"/>
    </row>
    <row r="269">
      <c r="A269" s="23"/>
      <c r="B269" s="43"/>
      <c r="N269" s="23"/>
      <c r="O269" s="43"/>
    </row>
    <row r="270">
      <c r="A270" s="23"/>
      <c r="B270" s="43"/>
      <c r="N270" s="23"/>
      <c r="O270" s="43"/>
    </row>
    <row r="271">
      <c r="A271" s="23"/>
      <c r="B271" s="43"/>
      <c r="N271" s="23"/>
      <c r="O271" s="43"/>
    </row>
    <row r="272">
      <c r="A272" s="23"/>
      <c r="B272" s="43"/>
      <c r="N272" s="23"/>
      <c r="O272" s="43"/>
    </row>
    <row r="273">
      <c r="A273" s="23"/>
      <c r="B273" s="43"/>
      <c r="N273" s="23"/>
      <c r="O273" s="43"/>
    </row>
    <row r="274">
      <c r="A274" s="23"/>
      <c r="B274" s="43"/>
      <c r="N274" s="23"/>
      <c r="O274" s="43"/>
    </row>
    <row r="275">
      <c r="A275" s="23"/>
      <c r="B275" s="43"/>
      <c r="N275" s="23"/>
      <c r="O275" s="43"/>
    </row>
    <row r="276">
      <c r="A276" s="23"/>
      <c r="B276" s="43"/>
      <c r="N276" s="23"/>
      <c r="O276" s="43"/>
    </row>
    <row r="277">
      <c r="A277" s="23"/>
      <c r="B277" s="43"/>
      <c r="N277" s="23"/>
      <c r="O277" s="43"/>
    </row>
    <row r="278">
      <c r="A278" s="23"/>
      <c r="B278" s="43"/>
      <c r="N278" s="23"/>
      <c r="O278" s="43"/>
    </row>
    <row r="279">
      <c r="A279" s="23"/>
      <c r="B279" s="43"/>
      <c r="N279" s="23"/>
      <c r="O279" s="43"/>
    </row>
    <row r="280">
      <c r="A280" s="23"/>
      <c r="B280" s="43"/>
      <c r="N280" s="23"/>
      <c r="O280" s="43"/>
    </row>
    <row r="281">
      <c r="A281" s="23"/>
      <c r="B281" s="43"/>
      <c r="N281" s="23"/>
      <c r="O281" s="43"/>
    </row>
    <row r="282">
      <c r="A282" s="23"/>
      <c r="B282" s="43"/>
      <c r="N282" s="23"/>
      <c r="O282" s="43"/>
    </row>
    <row r="283">
      <c r="A283" s="23"/>
      <c r="B283" s="43"/>
      <c r="N283" s="23"/>
      <c r="O283" s="43"/>
    </row>
    <row r="284">
      <c r="A284" s="23"/>
      <c r="B284" s="43"/>
      <c r="N284" s="23"/>
      <c r="O284" s="43"/>
    </row>
    <row r="285">
      <c r="A285" s="23"/>
      <c r="B285" s="43"/>
      <c r="N285" s="23"/>
      <c r="O285" s="43"/>
    </row>
    <row r="286">
      <c r="A286" s="23"/>
      <c r="B286" s="43"/>
      <c r="N286" s="23"/>
      <c r="O286" s="43"/>
    </row>
    <row r="287">
      <c r="A287" s="23"/>
      <c r="B287" s="43"/>
      <c r="N287" s="23"/>
      <c r="O287" s="43"/>
    </row>
    <row r="288">
      <c r="A288" s="23"/>
      <c r="B288" s="43"/>
      <c r="N288" s="23"/>
      <c r="O288" s="43"/>
    </row>
    <row r="289">
      <c r="A289" s="23"/>
      <c r="B289" s="43"/>
      <c r="N289" s="23"/>
      <c r="O289" s="43"/>
    </row>
    <row r="290">
      <c r="A290" s="23"/>
      <c r="B290" s="43"/>
      <c r="N290" s="23"/>
      <c r="O290" s="43"/>
    </row>
    <row r="291">
      <c r="A291" s="23"/>
      <c r="B291" s="43"/>
      <c r="N291" s="23"/>
      <c r="O291" s="43"/>
    </row>
    <row r="292">
      <c r="A292" s="23"/>
      <c r="B292" s="43"/>
      <c r="N292" s="23"/>
      <c r="O292" s="43"/>
    </row>
    <row r="293">
      <c r="A293" s="23"/>
      <c r="B293" s="43"/>
      <c r="N293" s="23"/>
      <c r="O293" s="43"/>
    </row>
    <row r="294">
      <c r="A294" s="23"/>
      <c r="B294" s="43"/>
      <c r="N294" s="23"/>
      <c r="O294" s="43"/>
    </row>
    <row r="295">
      <c r="A295" s="23"/>
      <c r="B295" s="43"/>
      <c r="N295" s="23"/>
      <c r="O295" s="43"/>
    </row>
    <row r="296">
      <c r="A296" s="23"/>
      <c r="B296" s="43"/>
      <c r="N296" s="23"/>
      <c r="O296" s="43"/>
    </row>
    <row r="297">
      <c r="A297" s="23"/>
      <c r="B297" s="43"/>
      <c r="N297" s="23"/>
      <c r="O297" s="43"/>
    </row>
    <row r="298">
      <c r="A298" s="23"/>
      <c r="B298" s="43"/>
      <c r="N298" s="23"/>
      <c r="O298" s="43"/>
    </row>
    <row r="299">
      <c r="A299" s="23"/>
      <c r="B299" s="43"/>
      <c r="N299" s="23"/>
      <c r="O299" s="43"/>
    </row>
    <row r="300">
      <c r="A300" s="23"/>
      <c r="B300" s="43"/>
      <c r="N300" s="23"/>
      <c r="O300" s="43"/>
    </row>
    <row r="301">
      <c r="A301" s="23"/>
      <c r="B301" s="43"/>
      <c r="N301" s="23"/>
      <c r="O301" s="43"/>
    </row>
    <row r="302">
      <c r="A302" s="23"/>
      <c r="B302" s="43"/>
      <c r="N302" s="23"/>
      <c r="O302" s="43"/>
    </row>
    <row r="303">
      <c r="A303" s="23"/>
      <c r="B303" s="43"/>
      <c r="N303" s="23"/>
      <c r="O303" s="43"/>
    </row>
    <row r="304">
      <c r="A304" s="23"/>
      <c r="B304" s="43"/>
      <c r="N304" s="23"/>
      <c r="O304" s="43"/>
    </row>
    <row r="305">
      <c r="A305" s="23"/>
      <c r="B305" s="43"/>
      <c r="N305" s="23"/>
      <c r="O305" s="43"/>
    </row>
    <row r="306">
      <c r="A306" s="23"/>
      <c r="B306" s="43"/>
      <c r="N306" s="23"/>
      <c r="O306" s="43"/>
    </row>
    <row r="307">
      <c r="A307" s="23"/>
      <c r="B307" s="43"/>
      <c r="N307" s="23"/>
      <c r="O307" s="43"/>
    </row>
    <row r="308">
      <c r="A308" s="23"/>
      <c r="B308" s="43"/>
      <c r="N308" s="23"/>
      <c r="O308" s="43"/>
    </row>
    <row r="309">
      <c r="A309" s="23"/>
      <c r="B309" s="43"/>
      <c r="N309" s="23"/>
      <c r="O309" s="43"/>
    </row>
    <row r="310">
      <c r="A310" s="23"/>
      <c r="B310" s="43"/>
      <c r="N310" s="23"/>
      <c r="O310" s="43"/>
    </row>
    <row r="311">
      <c r="A311" s="23"/>
      <c r="B311" s="43"/>
      <c r="N311" s="23"/>
      <c r="O311" s="43"/>
    </row>
    <row r="312">
      <c r="A312" s="23"/>
      <c r="B312" s="43"/>
      <c r="N312" s="23"/>
      <c r="O312" s="43"/>
    </row>
    <row r="313">
      <c r="A313" s="23"/>
      <c r="B313" s="43"/>
      <c r="N313" s="23"/>
      <c r="O313" s="43"/>
    </row>
    <row r="314">
      <c r="A314" s="23"/>
      <c r="B314" s="43"/>
      <c r="N314" s="23"/>
      <c r="O314" s="43"/>
    </row>
    <row r="315">
      <c r="A315" s="23"/>
      <c r="B315" s="43"/>
      <c r="N315" s="23"/>
      <c r="O315" s="43"/>
    </row>
    <row r="316">
      <c r="A316" s="23"/>
      <c r="B316" s="43"/>
      <c r="N316" s="23"/>
      <c r="O316" s="43"/>
    </row>
    <row r="317">
      <c r="A317" s="23"/>
      <c r="B317" s="43"/>
      <c r="N317" s="23"/>
      <c r="O317" s="43"/>
    </row>
    <row r="318">
      <c r="A318" s="23"/>
      <c r="B318" s="43"/>
      <c r="N318" s="23"/>
      <c r="O318" s="43"/>
    </row>
    <row r="319">
      <c r="A319" s="23"/>
      <c r="B319" s="43"/>
      <c r="N319" s="23"/>
      <c r="O319" s="43"/>
    </row>
    <row r="320">
      <c r="A320" s="23"/>
      <c r="B320" s="43"/>
      <c r="N320" s="23"/>
      <c r="O320" s="43"/>
    </row>
    <row r="321">
      <c r="A321" s="23"/>
      <c r="B321" s="43"/>
      <c r="N321" s="23"/>
      <c r="O321" s="43"/>
    </row>
    <row r="322">
      <c r="A322" s="23"/>
      <c r="B322" s="43"/>
      <c r="N322" s="23"/>
      <c r="O322" s="43"/>
    </row>
    <row r="323">
      <c r="A323" s="23"/>
      <c r="B323" s="43"/>
      <c r="N323" s="23"/>
      <c r="O323" s="43"/>
    </row>
    <row r="324">
      <c r="A324" s="23"/>
      <c r="B324" s="43"/>
      <c r="N324" s="23"/>
      <c r="O324" s="43"/>
    </row>
    <row r="325">
      <c r="A325" s="23"/>
      <c r="B325" s="43"/>
      <c r="N325" s="23"/>
      <c r="O325" s="43"/>
    </row>
    <row r="326">
      <c r="A326" s="23"/>
      <c r="B326" s="43"/>
      <c r="N326" s="23"/>
      <c r="O326" s="43"/>
    </row>
    <row r="327">
      <c r="A327" s="23"/>
      <c r="B327" s="43"/>
      <c r="N327" s="23"/>
      <c r="O327" s="43"/>
    </row>
    <row r="328">
      <c r="A328" s="23"/>
      <c r="B328" s="43"/>
      <c r="N328" s="23"/>
      <c r="O328" s="43"/>
    </row>
    <row r="329">
      <c r="A329" s="23"/>
      <c r="B329" s="43"/>
      <c r="N329" s="23"/>
      <c r="O329" s="43"/>
    </row>
    <row r="330">
      <c r="A330" s="23"/>
      <c r="B330" s="43"/>
      <c r="N330" s="23"/>
      <c r="O330" s="43"/>
    </row>
    <row r="331">
      <c r="A331" s="23"/>
      <c r="B331" s="43"/>
      <c r="N331" s="23"/>
      <c r="O331" s="43"/>
    </row>
    <row r="332">
      <c r="A332" s="23"/>
      <c r="B332" s="43"/>
      <c r="N332" s="23"/>
      <c r="O332" s="43"/>
    </row>
    <row r="333">
      <c r="A333" s="23"/>
      <c r="B333" s="43"/>
      <c r="N333" s="23"/>
      <c r="O333" s="43"/>
    </row>
    <row r="334">
      <c r="A334" s="23"/>
      <c r="B334" s="43"/>
      <c r="N334" s="23"/>
      <c r="O334" s="43"/>
    </row>
    <row r="335">
      <c r="A335" s="23"/>
      <c r="B335" s="43"/>
      <c r="N335" s="23"/>
      <c r="O335" s="43"/>
    </row>
    <row r="336">
      <c r="A336" s="23"/>
      <c r="B336" s="43"/>
      <c r="N336" s="23"/>
      <c r="O336" s="43"/>
    </row>
    <row r="337">
      <c r="A337" s="23"/>
      <c r="B337" s="43"/>
      <c r="N337" s="23"/>
      <c r="O337" s="43"/>
    </row>
    <row r="338">
      <c r="A338" s="23"/>
      <c r="B338" s="43"/>
      <c r="N338" s="23"/>
      <c r="O338" s="43"/>
    </row>
    <row r="339">
      <c r="A339" s="23"/>
      <c r="B339" s="43"/>
      <c r="N339" s="23"/>
      <c r="O339" s="43"/>
    </row>
    <row r="340">
      <c r="A340" s="23"/>
      <c r="B340" s="43"/>
      <c r="N340" s="23"/>
      <c r="O340" s="43"/>
    </row>
    <row r="341">
      <c r="A341" s="23"/>
      <c r="B341" s="43"/>
      <c r="N341" s="23"/>
      <c r="O341" s="43"/>
    </row>
    <row r="342">
      <c r="A342" s="23"/>
      <c r="B342" s="43"/>
      <c r="N342" s="23"/>
      <c r="O342" s="43"/>
    </row>
    <row r="343">
      <c r="A343" s="23"/>
      <c r="B343" s="43"/>
      <c r="N343" s="23"/>
      <c r="O343" s="43"/>
    </row>
    <row r="344">
      <c r="A344" s="23"/>
      <c r="B344" s="43"/>
      <c r="N344" s="23"/>
      <c r="O344" s="43"/>
    </row>
    <row r="345">
      <c r="A345" s="23"/>
      <c r="B345" s="43"/>
      <c r="N345" s="23"/>
      <c r="O345" s="43"/>
    </row>
    <row r="346">
      <c r="A346" s="23"/>
      <c r="B346" s="43"/>
      <c r="N346" s="23"/>
      <c r="O346" s="43"/>
    </row>
    <row r="347">
      <c r="A347" s="23"/>
      <c r="B347" s="43"/>
      <c r="N347" s="23"/>
      <c r="O347" s="43"/>
    </row>
    <row r="348">
      <c r="A348" s="23"/>
      <c r="B348" s="43"/>
      <c r="N348" s="23"/>
      <c r="O348" s="43"/>
    </row>
    <row r="349">
      <c r="A349" s="23"/>
      <c r="B349" s="43"/>
      <c r="N349" s="23"/>
      <c r="O349" s="43"/>
    </row>
    <row r="350">
      <c r="A350" s="23"/>
      <c r="B350" s="43"/>
      <c r="N350" s="23"/>
      <c r="O350" s="43"/>
    </row>
    <row r="351">
      <c r="A351" s="23"/>
      <c r="B351" s="43"/>
      <c r="N351" s="23"/>
      <c r="O351" s="43"/>
    </row>
    <row r="352">
      <c r="A352" s="23"/>
      <c r="B352" s="43"/>
      <c r="N352" s="23"/>
      <c r="O352" s="43"/>
    </row>
    <row r="353">
      <c r="A353" s="23"/>
      <c r="B353" s="43"/>
      <c r="N353" s="23"/>
      <c r="O353" s="43"/>
    </row>
    <row r="354">
      <c r="A354" s="23"/>
      <c r="B354" s="43"/>
      <c r="N354" s="23"/>
      <c r="O354" s="43"/>
    </row>
    <row r="355">
      <c r="A355" s="23"/>
      <c r="B355" s="43"/>
      <c r="N355" s="23"/>
      <c r="O355" s="43"/>
    </row>
    <row r="356">
      <c r="A356" s="23"/>
      <c r="B356" s="43"/>
      <c r="N356" s="23"/>
      <c r="O356" s="43"/>
    </row>
    <row r="357">
      <c r="A357" s="23"/>
      <c r="B357" s="43"/>
      <c r="N357" s="23"/>
      <c r="O357" s="43"/>
    </row>
    <row r="358">
      <c r="A358" s="23"/>
      <c r="B358" s="43"/>
      <c r="N358" s="23"/>
      <c r="O358" s="43"/>
    </row>
    <row r="359">
      <c r="A359" s="23"/>
      <c r="B359" s="43"/>
      <c r="N359" s="23"/>
      <c r="O359" s="43"/>
    </row>
    <row r="360">
      <c r="A360" s="23"/>
      <c r="B360" s="43"/>
      <c r="N360" s="23"/>
      <c r="O360" s="43"/>
    </row>
    <row r="361">
      <c r="A361" s="23"/>
      <c r="B361" s="43"/>
      <c r="N361" s="23"/>
      <c r="O361" s="43"/>
    </row>
    <row r="362">
      <c r="A362" s="23"/>
      <c r="B362" s="43"/>
      <c r="N362" s="23"/>
      <c r="O362" s="43"/>
    </row>
    <row r="363">
      <c r="A363" s="23"/>
      <c r="B363" s="43"/>
      <c r="N363" s="23"/>
      <c r="O363" s="43"/>
    </row>
    <row r="364">
      <c r="A364" s="23"/>
      <c r="B364" s="43"/>
      <c r="N364" s="23"/>
      <c r="O364" s="43"/>
    </row>
    <row r="365">
      <c r="A365" s="23"/>
      <c r="B365" s="43"/>
      <c r="N365" s="23"/>
      <c r="O365" s="43"/>
    </row>
    <row r="366">
      <c r="A366" s="23"/>
      <c r="B366" s="43"/>
      <c r="N366" s="23"/>
      <c r="O366" s="43"/>
    </row>
    <row r="367">
      <c r="A367" s="23"/>
      <c r="B367" s="43"/>
      <c r="N367" s="23"/>
      <c r="O367" s="43"/>
    </row>
    <row r="368">
      <c r="A368" s="23"/>
      <c r="B368" s="43"/>
      <c r="N368" s="23"/>
      <c r="O368" s="43"/>
    </row>
    <row r="369">
      <c r="A369" s="23"/>
      <c r="B369" s="43"/>
      <c r="N369" s="23"/>
      <c r="O369" s="43"/>
    </row>
    <row r="370">
      <c r="A370" s="23"/>
      <c r="B370" s="43"/>
      <c r="N370" s="23"/>
      <c r="O370" s="43"/>
    </row>
    <row r="371">
      <c r="A371" s="23"/>
      <c r="B371" s="43"/>
      <c r="N371" s="23"/>
      <c r="O371" s="43"/>
    </row>
    <row r="372">
      <c r="A372" s="23"/>
      <c r="B372" s="43"/>
      <c r="N372" s="23"/>
      <c r="O372" s="43"/>
    </row>
    <row r="373">
      <c r="A373" s="23"/>
      <c r="B373" s="43"/>
      <c r="N373" s="23"/>
      <c r="O373" s="43"/>
    </row>
    <row r="374">
      <c r="A374" s="23"/>
      <c r="B374" s="43"/>
      <c r="N374" s="23"/>
      <c r="O374" s="43"/>
    </row>
    <row r="375">
      <c r="A375" s="23"/>
      <c r="B375" s="43"/>
      <c r="N375" s="23"/>
      <c r="O375" s="43"/>
    </row>
    <row r="376">
      <c r="A376" s="23"/>
      <c r="B376" s="43"/>
      <c r="N376" s="23"/>
      <c r="O376" s="43"/>
    </row>
    <row r="377">
      <c r="A377" s="23"/>
      <c r="B377" s="43"/>
      <c r="N377" s="23"/>
      <c r="O377" s="43"/>
    </row>
    <row r="378">
      <c r="A378" s="23"/>
      <c r="B378" s="43"/>
      <c r="N378" s="23"/>
      <c r="O378" s="43"/>
    </row>
    <row r="379">
      <c r="A379" s="23"/>
      <c r="B379" s="43"/>
      <c r="N379" s="23"/>
      <c r="O379" s="43"/>
    </row>
    <row r="380">
      <c r="A380" s="23"/>
      <c r="B380" s="43"/>
      <c r="N380" s="23"/>
      <c r="O380" s="43"/>
    </row>
    <row r="381">
      <c r="A381" s="23"/>
      <c r="B381" s="43"/>
      <c r="N381" s="23"/>
      <c r="O381" s="43"/>
    </row>
    <row r="382">
      <c r="A382" s="23"/>
      <c r="B382" s="43"/>
      <c r="N382" s="23"/>
      <c r="O382" s="43"/>
    </row>
    <row r="383">
      <c r="A383" s="23"/>
      <c r="B383" s="43"/>
      <c r="N383" s="23"/>
      <c r="O383" s="43"/>
    </row>
    <row r="384">
      <c r="A384" s="23"/>
      <c r="B384" s="43"/>
      <c r="N384" s="23"/>
      <c r="O384" s="43"/>
    </row>
    <row r="385">
      <c r="A385" s="23"/>
      <c r="B385" s="43"/>
      <c r="N385" s="23"/>
      <c r="O385" s="43"/>
    </row>
    <row r="386">
      <c r="A386" s="23"/>
      <c r="B386" s="43"/>
      <c r="N386" s="23"/>
      <c r="O386" s="43"/>
    </row>
    <row r="387">
      <c r="A387" s="23"/>
      <c r="B387" s="43"/>
      <c r="N387" s="23"/>
      <c r="O387" s="43"/>
    </row>
    <row r="388">
      <c r="A388" s="23"/>
      <c r="B388" s="43"/>
      <c r="N388" s="23"/>
      <c r="O388" s="43"/>
    </row>
    <row r="389">
      <c r="A389" s="23"/>
      <c r="B389" s="43"/>
      <c r="N389" s="23"/>
      <c r="O389" s="43"/>
    </row>
    <row r="390">
      <c r="A390" s="23"/>
      <c r="B390" s="43"/>
      <c r="N390" s="23"/>
      <c r="O390" s="43"/>
    </row>
    <row r="391">
      <c r="A391" s="23"/>
      <c r="B391" s="43"/>
      <c r="N391" s="23"/>
      <c r="O391" s="43"/>
    </row>
    <row r="392">
      <c r="A392" s="23"/>
      <c r="B392" s="43"/>
      <c r="N392" s="23"/>
      <c r="O392" s="43"/>
    </row>
    <row r="393">
      <c r="A393" s="23"/>
      <c r="B393" s="43"/>
      <c r="N393" s="23"/>
      <c r="O393" s="43"/>
    </row>
    <row r="394">
      <c r="A394" s="23"/>
      <c r="B394" s="43"/>
      <c r="N394" s="23"/>
      <c r="O394" s="43"/>
    </row>
    <row r="395">
      <c r="A395" s="23"/>
      <c r="B395" s="43"/>
      <c r="N395" s="23"/>
      <c r="O395" s="43"/>
    </row>
    <row r="396">
      <c r="A396" s="23"/>
      <c r="B396" s="43"/>
      <c r="N396" s="23"/>
      <c r="O396" s="43"/>
    </row>
    <row r="397">
      <c r="A397" s="23"/>
      <c r="B397" s="43"/>
      <c r="N397" s="23"/>
      <c r="O397" s="43"/>
    </row>
    <row r="398">
      <c r="A398" s="23"/>
      <c r="B398" s="43"/>
      <c r="N398" s="23"/>
      <c r="O398" s="43"/>
    </row>
    <row r="399">
      <c r="A399" s="23"/>
      <c r="B399" s="43"/>
      <c r="N399" s="23"/>
      <c r="O399" s="43"/>
    </row>
    <row r="400">
      <c r="A400" s="23"/>
      <c r="B400" s="43"/>
      <c r="N400" s="23"/>
      <c r="O400" s="43"/>
    </row>
    <row r="401">
      <c r="A401" s="23"/>
      <c r="B401" s="43"/>
      <c r="N401" s="23"/>
      <c r="O401" s="43"/>
    </row>
    <row r="402">
      <c r="A402" s="23"/>
      <c r="B402" s="43"/>
      <c r="N402" s="23"/>
      <c r="O402" s="43"/>
    </row>
    <row r="403">
      <c r="A403" s="23"/>
      <c r="B403" s="43"/>
      <c r="N403" s="23"/>
      <c r="O403" s="43"/>
    </row>
    <row r="404">
      <c r="A404" s="23"/>
      <c r="B404" s="43"/>
      <c r="N404" s="23"/>
      <c r="O404" s="43"/>
    </row>
    <row r="405">
      <c r="A405" s="23"/>
      <c r="B405" s="43"/>
      <c r="N405" s="23"/>
      <c r="O405" s="43"/>
    </row>
    <row r="406">
      <c r="A406" s="23"/>
      <c r="B406" s="43"/>
      <c r="N406" s="23"/>
      <c r="O406" s="43"/>
    </row>
    <row r="407">
      <c r="A407" s="23"/>
      <c r="B407" s="43"/>
      <c r="N407" s="23"/>
      <c r="O407" s="43"/>
    </row>
    <row r="408">
      <c r="A408" s="23"/>
      <c r="B408" s="43"/>
      <c r="N408" s="23"/>
      <c r="O408" s="43"/>
    </row>
    <row r="409">
      <c r="A409" s="23"/>
      <c r="B409" s="43"/>
      <c r="N409" s="23"/>
      <c r="O409" s="43"/>
    </row>
    <row r="410">
      <c r="A410" s="23"/>
      <c r="B410" s="43"/>
      <c r="N410" s="23"/>
      <c r="O410" s="43"/>
    </row>
    <row r="411">
      <c r="A411" s="23"/>
      <c r="B411" s="43"/>
      <c r="N411" s="23"/>
      <c r="O411" s="43"/>
    </row>
    <row r="412">
      <c r="A412" s="23"/>
      <c r="B412" s="43"/>
      <c r="N412" s="23"/>
      <c r="O412" s="43"/>
    </row>
    <row r="413">
      <c r="A413" s="23"/>
      <c r="B413" s="43"/>
      <c r="N413" s="23"/>
      <c r="O413" s="43"/>
    </row>
    <row r="414">
      <c r="A414" s="23"/>
      <c r="B414" s="43"/>
      <c r="N414" s="23"/>
      <c r="O414" s="43"/>
    </row>
    <row r="415">
      <c r="A415" s="23"/>
      <c r="B415" s="43"/>
      <c r="N415" s="23"/>
      <c r="O415" s="43"/>
    </row>
    <row r="416">
      <c r="A416" s="23"/>
      <c r="B416" s="43"/>
      <c r="N416" s="23"/>
      <c r="O416" s="43"/>
    </row>
    <row r="417">
      <c r="A417" s="23"/>
      <c r="B417" s="43"/>
      <c r="N417" s="23"/>
      <c r="O417" s="43"/>
    </row>
    <row r="418">
      <c r="A418" s="23"/>
      <c r="B418" s="43"/>
      <c r="N418" s="23"/>
      <c r="O418" s="43"/>
    </row>
    <row r="419">
      <c r="A419" s="23"/>
      <c r="B419" s="43"/>
      <c r="N419" s="23"/>
      <c r="O419" s="43"/>
    </row>
    <row r="420">
      <c r="A420" s="23"/>
      <c r="B420" s="43"/>
      <c r="N420" s="23"/>
      <c r="O420" s="43"/>
    </row>
    <row r="421">
      <c r="A421" s="23"/>
      <c r="B421" s="43"/>
      <c r="N421" s="23"/>
      <c r="O421" s="43"/>
    </row>
    <row r="422">
      <c r="A422" s="23"/>
      <c r="B422" s="43"/>
      <c r="N422" s="23"/>
      <c r="O422" s="43"/>
    </row>
    <row r="423">
      <c r="A423" s="23"/>
      <c r="B423" s="43"/>
      <c r="N423" s="23"/>
      <c r="O423" s="43"/>
    </row>
    <row r="424">
      <c r="A424" s="23"/>
      <c r="B424" s="43"/>
      <c r="N424" s="23"/>
      <c r="O424" s="43"/>
    </row>
    <row r="425">
      <c r="A425" s="23"/>
      <c r="B425" s="43"/>
      <c r="N425" s="23"/>
      <c r="O425" s="43"/>
    </row>
    <row r="426">
      <c r="A426" s="23"/>
      <c r="B426" s="43"/>
      <c r="N426" s="23"/>
      <c r="O426" s="43"/>
    </row>
    <row r="427">
      <c r="A427" s="23"/>
      <c r="B427" s="43"/>
      <c r="N427" s="23"/>
      <c r="O427" s="43"/>
    </row>
    <row r="428">
      <c r="A428" s="23"/>
      <c r="B428" s="43"/>
      <c r="N428" s="23"/>
      <c r="O428" s="43"/>
    </row>
    <row r="429">
      <c r="A429" s="23"/>
      <c r="B429" s="43"/>
      <c r="N429" s="23"/>
      <c r="O429" s="43"/>
    </row>
    <row r="430">
      <c r="A430" s="23"/>
      <c r="B430" s="43"/>
      <c r="N430" s="23"/>
      <c r="O430" s="43"/>
    </row>
    <row r="431">
      <c r="A431" s="23"/>
      <c r="B431" s="43"/>
      <c r="N431" s="23"/>
      <c r="O431" s="43"/>
    </row>
    <row r="432">
      <c r="A432" s="23"/>
      <c r="B432" s="43"/>
      <c r="N432" s="23"/>
      <c r="O432" s="43"/>
    </row>
    <row r="433">
      <c r="A433" s="23"/>
      <c r="B433" s="43"/>
      <c r="N433" s="23"/>
      <c r="O433" s="43"/>
    </row>
    <row r="434">
      <c r="A434" s="23"/>
      <c r="B434" s="43"/>
      <c r="N434" s="23"/>
      <c r="O434" s="43"/>
    </row>
    <row r="435">
      <c r="A435" s="23"/>
      <c r="B435" s="43"/>
      <c r="N435" s="23"/>
      <c r="O435" s="43"/>
    </row>
    <row r="436">
      <c r="A436" s="23"/>
      <c r="B436" s="43"/>
      <c r="N436" s="23"/>
      <c r="O436" s="43"/>
    </row>
    <row r="437">
      <c r="A437" s="23"/>
      <c r="B437" s="43"/>
      <c r="N437" s="23"/>
      <c r="O437" s="43"/>
    </row>
    <row r="438">
      <c r="A438" s="23"/>
      <c r="B438" s="43"/>
      <c r="N438" s="23"/>
      <c r="O438" s="43"/>
    </row>
    <row r="439">
      <c r="A439" s="23"/>
      <c r="B439" s="43"/>
      <c r="N439" s="23"/>
      <c r="O439" s="43"/>
    </row>
    <row r="440">
      <c r="A440" s="23"/>
      <c r="B440" s="43"/>
      <c r="N440" s="23"/>
      <c r="O440" s="43"/>
    </row>
    <row r="441">
      <c r="A441" s="23"/>
      <c r="B441" s="43"/>
      <c r="N441" s="23"/>
      <c r="O441" s="43"/>
    </row>
    <row r="442">
      <c r="A442" s="23"/>
      <c r="B442" s="43"/>
      <c r="N442" s="23"/>
      <c r="O442" s="43"/>
    </row>
    <row r="443">
      <c r="A443" s="23"/>
      <c r="B443" s="43"/>
      <c r="N443" s="23"/>
      <c r="O443" s="43"/>
    </row>
    <row r="444">
      <c r="A444" s="23"/>
      <c r="B444" s="43"/>
      <c r="N444" s="23"/>
      <c r="O444" s="43"/>
    </row>
    <row r="445">
      <c r="A445" s="23"/>
      <c r="B445" s="43"/>
      <c r="N445" s="23"/>
      <c r="O445" s="43"/>
    </row>
    <row r="446">
      <c r="A446" s="23"/>
      <c r="B446" s="43"/>
      <c r="N446" s="23"/>
      <c r="O446" s="43"/>
    </row>
    <row r="447">
      <c r="A447" s="23"/>
      <c r="B447" s="43"/>
      <c r="N447" s="23"/>
      <c r="O447" s="43"/>
    </row>
    <row r="448">
      <c r="A448" s="23"/>
      <c r="B448" s="43"/>
      <c r="N448" s="23"/>
      <c r="O448" s="43"/>
    </row>
    <row r="449">
      <c r="A449" s="23"/>
      <c r="B449" s="43"/>
      <c r="N449" s="23"/>
      <c r="O449" s="43"/>
    </row>
    <row r="450">
      <c r="A450" s="23"/>
      <c r="B450" s="43"/>
      <c r="N450" s="23"/>
      <c r="O450" s="43"/>
    </row>
    <row r="451">
      <c r="A451" s="23"/>
      <c r="B451" s="43"/>
      <c r="N451" s="23"/>
      <c r="O451" s="43"/>
    </row>
    <row r="452">
      <c r="A452" s="23"/>
      <c r="B452" s="43"/>
      <c r="N452" s="23"/>
      <c r="O452" s="43"/>
    </row>
    <row r="453">
      <c r="A453" s="23"/>
      <c r="B453" s="43"/>
      <c r="N453" s="23"/>
      <c r="O453" s="43"/>
    </row>
    <row r="454">
      <c r="A454" s="23"/>
      <c r="B454" s="43"/>
      <c r="N454" s="23"/>
      <c r="O454" s="43"/>
    </row>
    <row r="455">
      <c r="A455" s="23"/>
      <c r="B455" s="43"/>
      <c r="N455" s="23"/>
      <c r="O455" s="43"/>
    </row>
    <row r="456">
      <c r="A456" s="23"/>
      <c r="B456" s="43"/>
      <c r="N456" s="23"/>
      <c r="O456" s="43"/>
    </row>
    <row r="457">
      <c r="A457" s="23"/>
      <c r="B457" s="43"/>
      <c r="N457" s="23"/>
      <c r="O457" s="43"/>
    </row>
    <row r="458">
      <c r="A458" s="23"/>
      <c r="B458" s="43"/>
      <c r="N458" s="23"/>
      <c r="O458" s="43"/>
    </row>
    <row r="459">
      <c r="A459" s="23"/>
      <c r="B459" s="43"/>
      <c r="N459" s="23"/>
      <c r="O459" s="43"/>
    </row>
    <row r="460">
      <c r="A460" s="23"/>
      <c r="B460" s="43"/>
      <c r="N460" s="23"/>
      <c r="O460" s="43"/>
    </row>
    <row r="461">
      <c r="A461" s="23"/>
      <c r="B461" s="43"/>
      <c r="N461" s="23"/>
      <c r="O461" s="43"/>
    </row>
    <row r="462">
      <c r="A462" s="23"/>
      <c r="B462" s="43"/>
      <c r="N462" s="23"/>
      <c r="O462" s="43"/>
    </row>
    <row r="463">
      <c r="A463" s="23"/>
      <c r="B463" s="43"/>
      <c r="N463" s="23"/>
      <c r="O463" s="43"/>
    </row>
    <row r="464">
      <c r="A464" s="23"/>
      <c r="B464" s="43"/>
      <c r="N464" s="23"/>
      <c r="O464" s="43"/>
    </row>
    <row r="465">
      <c r="A465" s="23"/>
      <c r="B465" s="43"/>
      <c r="N465" s="23"/>
      <c r="O465" s="43"/>
    </row>
    <row r="466">
      <c r="A466" s="23"/>
      <c r="B466" s="43"/>
      <c r="N466" s="23"/>
      <c r="O466" s="43"/>
    </row>
    <row r="467">
      <c r="A467" s="23"/>
      <c r="B467" s="43"/>
      <c r="N467" s="23"/>
      <c r="O467" s="43"/>
    </row>
    <row r="468">
      <c r="A468" s="23"/>
      <c r="B468" s="43"/>
      <c r="N468" s="23"/>
      <c r="O468" s="43"/>
    </row>
    <row r="469">
      <c r="A469" s="23"/>
      <c r="B469" s="43"/>
      <c r="N469" s="23"/>
      <c r="O469" s="43"/>
    </row>
    <row r="470">
      <c r="A470" s="23"/>
      <c r="B470" s="43"/>
      <c r="N470" s="23"/>
      <c r="O470" s="43"/>
    </row>
    <row r="471">
      <c r="A471" s="23"/>
      <c r="B471" s="43"/>
      <c r="N471" s="23"/>
      <c r="O471" s="43"/>
    </row>
    <row r="472">
      <c r="A472" s="23"/>
      <c r="B472" s="43"/>
      <c r="N472" s="23"/>
      <c r="O472" s="43"/>
    </row>
    <row r="473">
      <c r="A473" s="23"/>
      <c r="B473" s="43"/>
      <c r="N473" s="23"/>
      <c r="O473" s="43"/>
    </row>
    <row r="474">
      <c r="A474" s="23"/>
      <c r="B474" s="43"/>
      <c r="N474" s="23"/>
      <c r="O474" s="43"/>
    </row>
    <row r="475">
      <c r="A475" s="23"/>
      <c r="B475" s="43"/>
      <c r="N475" s="23"/>
      <c r="O475" s="43"/>
    </row>
    <row r="476">
      <c r="A476" s="23"/>
      <c r="B476" s="43"/>
      <c r="N476" s="23"/>
      <c r="O476" s="43"/>
    </row>
    <row r="477">
      <c r="A477" s="23"/>
      <c r="B477" s="43"/>
      <c r="N477" s="23"/>
      <c r="O477" s="43"/>
    </row>
    <row r="478">
      <c r="A478" s="23"/>
      <c r="B478" s="43"/>
      <c r="N478" s="23"/>
      <c r="O478" s="43"/>
    </row>
    <row r="479">
      <c r="A479" s="23"/>
      <c r="B479" s="43"/>
      <c r="N479" s="23"/>
      <c r="O479" s="43"/>
    </row>
    <row r="480">
      <c r="A480" s="23"/>
      <c r="B480" s="43"/>
      <c r="N480" s="23"/>
      <c r="O480" s="43"/>
    </row>
    <row r="481">
      <c r="A481" s="23"/>
      <c r="B481" s="43"/>
      <c r="N481" s="23"/>
      <c r="O481" s="43"/>
    </row>
    <row r="482">
      <c r="A482" s="23"/>
      <c r="B482" s="43"/>
      <c r="N482" s="23"/>
      <c r="O482" s="43"/>
    </row>
    <row r="483">
      <c r="A483" s="23"/>
      <c r="B483" s="43"/>
      <c r="N483" s="23"/>
      <c r="O483" s="43"/>
    </row>
    <row r="484">
      <c r="A484" s="23"/>
      <c r="B484" s="43"/>
      <c r="N484" s="23"/>
      <c r="O484" s="43"/>
    </row>
    <row r="485">
      <c r="A485" s="23"/>
      <c r="B485" s="43"/>
      <c r="N485" s="23"/>
      <c r="O485" s="43"/>
    </row>
    <row r="486">
      <c r="A486" s="23"/>
      <c r="B486" s="43"/>
      <c r="N486" s="23"/>
      <c r="O486" s="43"/>
    </row>
    <row r="487">
      <c r="A487" s="23"/>
      <c r="B487" s="43"/>
      <c r="N487" s="23"/>
      <c r="O487" s="43"/>
    </row>
    <row r="488">
      <c r="A488" s="23"/>
      <c r="B488" s="43"/>
      <c r="N488" s="23"/>
      <c r="O488" s="43"/>
    </row>
    <row r="489">
      <c r="A489" s="23"/>
      <c r="B489" s="43"/>
      <c r="N489" s="23"/>
      <c r="O489" s="43"/>
    </row>
    <row r="490">
      <c r="A490" s="23"/>
      <c r="B490" s="43"/>
      <c r="N490" s="23"/>
      <c r="O490" s="43"/>
    </row>
    <row r="491">
      <c r="A491" s="23"/>
      <c r="B491" s="43"/>
      <c r="N491" s="23"/>
      <c r="O491" s="43"/>
    </row>
    <row r="492">
      <c r="A492" s="23"/>
      <c r="B492" s="43"/>
      <c r="N492" s="23"/>
      <c r="O492" s="43"/>
    </row>
    <row r="493">
      <c r="A493" s="23"/>
      <c r="B493" s="43"/>
      <c r="N493" s="23"/>
      <c r="O493" s="43"/>
    </row>
    <row r="494">
      <c r="A494" s="23"/>
      <c r="B494" s="43"/>
      <c r="N494" s="23"/>
      <c r="O494" s="43"/>
    </row>
    <row r="495">
      <c r="A495" s="23"/>
      <c r="B495" s="43"/>
      <c r="N495" s="23"/>
      <c r="O495" s="43"/>
    </row>
    <row r="496">
      <c r="A496" s="23"/>
      <c r="B496" s="43"/>
      <c r="N496" s="23"/>
      <c r="O496" s="43"/>
    </row>
    <row r="497">
      <c r="A497" s="23"/>
      <c r="B497" s="43"/>
      <c r="N497" s="23"/>
      <c r="O497" s="43"/>
    </row>
    <row r="498">
      <c r="A498" s="23"/>
      <c r="B498" s="43"/>
      <c r="N498" s="23"/>
      <c r="O498" s="43"/>
    </row>
    <row r="499">
      <c r="A499" s="23"/>
      <c r="B499" s="43"/>
      <c r="N499" s="23"/>
      <c r="O499" s="43"/>
    </row>
    <row r="500">
      <c r="A500" s="23"/>
      <c r="B500" s="43"/>
      <c r="N500" s="23"/>
      <c r="O500" s="43"/>
    </row>
    <row r="501">
      <c r="A501" s="23"/>
      <c r="B501" s="43"/>
      <c r="N501" s="23"/>
      <c r="O501" s="43"/>
    </row>
    <row r="502">
      <c r="A502" s="23"/>
      <c r="B502" s="43"/>
      <c r="N502" s="23"/>
      <c r="O502" s="43"/>
    </row>
    <row r="503">
      <c r="A503" s="23"/>
      <c r="B503" s="43"/>
      <c r="N503" s="23"/>
      <c r="O503" s="43"/>
    </row>
    <row r="504">
      <c r="A504" s="23"/>
      <c r="B504" s="43"/>
      <c r="N504" s="23"/>
      <c r="O504" s="43"/>
    </row>
    <row r="505">
      <c r="A505" s="23"/>
      <c r="B505" s="43"/>
      <c r="N505" s="23"/>
      <c r="O505" s="43"/>
    </row>
    <row r="506">
      <c r="A506" s="23"/>
      <c r="B506" s="43"/>
      <c r="N506" s="23"/>
      <c r="O506" s="43"/>
    </row>
    <row r="507">
      <c r="A507" s="23"/>
      <c r="B507" s="43"/>
      <c r="N507" s="23"/>
      <c r="O507" s="43"/>
    </row>
    <row r="508">
      <c r="A508" s="23"/>
      <c r="B508" s="43"/>
      <c r="N508" s="23"/>
      <c r="O508" s="43"/>
    </row>
    <row r="509">
      <c r="A509" s="23"/>
      <c r="B509" s="43"/>
      <c r="N509" s="23"/>
      <c r="O509" s="43"/>
    </row>
    <row r="510">
      <c r="A510" s="23"/>
      <c r="B510" s="43"/>
      <c r="N510" s="23"/>
      <c r="O510" s="43"/>
    </row>
    <row r="511">
      <c r="A511" s="23"/>
      <c r="B511" s="43"/>
      <c r="N511" s="23"/>
      <c r="O511" s="43"/>
    </row>
    <row r="512">
      <c r="A512" s="23"/>
      <c r="B512" s="43"/>
      <c r="N512" s="23"/>
      <c r="O512" s="43"/>
    </row>
    <row r="513">
      <c r="A513" s="23"/>
      <c r="B513" s="43"/>
      <c r="N513" s="23"/>
      <c r="O513" s="43"/>
    </row>
    <row r="514">
      <c r="A514" s="23"/>
      <c r="B514" s="43"/>
      <c r="N514" s="23"/>
      <c r="O514" s="43"/>
    </row>
    <row r="515">
      <c r="A515" s="23"/>
      <c r="B515" s="43"/>
      <c r="N515" s="23"/>
      <c r="O515" s="43"/>
    </row>
    <row r="516">
      <c r="A516" s="23"/>
      <c r="B516" s="43"/>
      <c r="N516" s="23"/>
      <c r="O516" s="43"/>
    </row>
    <row r="517">
      <c r="A517" s="23"/>
      <c r="B517" s="43"/>
      <c r="N517" s="23"/>
      <c r="O517" s="43"/>
    </row>
    <row r="518">
      <c r="A518" s="23"/>
      <c r="B518" s="43"/>
      <c r="N518" s="23"/>
      <c r="O518" s="43"/>
    </row>
    <row r="519">
      <c r="A519" s="23"/>
      <c r="B519" s="43"/>
      <c r="N519" s="23"/>
      <c r="O519" s="43"/>
    </row>
    <row r="520">
      <c r="A520" s="23"/>
      <c r="B520" s="43"/>
      <c r="N520" s="23"/>
      <c r="O520" s="43"/>
    </row>
    <row r="521">
      <c r="A521" s="23"/>
      <c r="B521" s="43"/>
      <c r="N521" s="23"/>
      <c r="O521" s="43"/>
    </row>
    <row r="522">
      <c r="A522" s="23"/>
      <c r="B522" s="43"/>
      <c r="N522" s="23"/>
      <c r="O522" s="43"/>
    </row>
    <row r="523">
      <c r="A523" s="23"/>
      <c r="B523" s="43"/>
      <c r="N523" s="23"/>
      <c r="O523" s="43"/>
    </row>
    <row r="524">
      <c r="A524" s="23"/>
      <c r="B524" s="43"/>
      <c r="N524" s="23"/>
      <c r="O524" s="43"/>
    </row>
    <row r="525">
      <c r="A525" s="23"/>
      <c r="B525" s="43"/>
      <c r="N525" s="23"/>
      <c r="O525" s="43"/>
    </row>
    <row r="526">
      <c r="A526" s="23"/>
      <c r="B526" s="43"/>
      <c r="N526" s="23"/>
      <c r="O526" s="43"/>
    </row>
    <row r="527">
      <c r="A527" s="23"/>
      <c r="B527" s="43"/>
      <c r="N527" s="23"/>
      <c r="O527" s="43"/>
    </row>
    <row r="528">
      <c r="A528" s="23"/>
      <c r="B528" s="43"/>
      <c r="N528" s="23"/>
      <c r="O528" s="43"/>
    </row>
    <row r="529">
      <c r="A529" s="23"/>
      <c r="B529" s="43"/>
      <c r="N529" s="23"/>
      <c r="O529" s="43"/>
    </row>
    <row r="530">
      <c r="A530" s="23"/>
      <c r="B530" s="43"/>
      <c r="N530" s="23"/>
      <c r="O530" s="43"/>
    </row>
    <row r="531">
      <c r="A531" s="23"/>
      <c r="B531" s="43"/>
      <c r="N531" s="23"/>
      <c r="O531" s="43"/>
    </row>
    <row r="532">
      <c r="A532" s="23"/>
      <c r="B532" s="43"/>
      <c r="N532" s="23"/>
      <c r="O532" s="43"/>
    </row>
    <row r="533">
      <c r="A533" s="23"/>
      <c r="B533" s="43"/>
      <c r="N533" s="23"/>
      <c r="O533" s="43"/>
    </row>
    <row r="534">
      <c r="A534" s="23"/>
      <c r="B534" s="43"/>
      <c r="N534" s="23"/>
      <c r="O534" s="43"/>
    </row>
    <row r="535">
      <c r="A535" s="23"/>
      <c r="B535" s="43"/>
      <c r="N535" s="23"/>
      <c r="O535" s="43"/>
    </row>
    <row r="536">
      <c r="A536" s="23"/>
      <c r="B536" s="43"/>
      <c r="N536" s="23"/>
      <c r="O536" s="43"/>
    </row>
    <row r="537">
      <c r="A537" s="23"/>
      <c r="B537" s="43"/>
      <c r="N537" s="23"/>
      <c r="O537" s="43"/>
    </row>
    <row r="538">
      <c r="A538" s="23"/>
      <c r="B538" s="43"/>
      <c r="N538" s="23"/>
      <c r="O538" s="43"/>
    </row>
    <row r="539">
      <c r="A539" s="23"/>
      <c r="B539" s="43"/>
      <c r="N539" s="23"/>
      <c r="O539" s="43"/>
    </row>
    <row r="540">
      <c r="A540" s="23"/>
      <c r="B540" s="43"/>
      <c r="N540" s="23"/>
      <c r="O540" s="43"/>
    </row>
    <row r="541">
      <c r="A541" s="23"/>
      <c r="B541" s="43"/>
      <c r="N541" s="23"/>
      <c r="O541" s="43"/>
    </row>
    <row r="542">
      <c r="A542" s="23"/>
      <c r="B542" s="43"/>
      <c r="N542" s="23"/>
      <c r="O542" s="43"/>
    </row>
    <row r="543">
      <c r="A543" s="23"/>
      <c r="B543" s="43"/>
      <c r="N543" s="23"/>
      <c r="O543" s="43"/>
    </row>
    <row r="544">
      <c r="A544" s="23"/>
      <c r="B544" s="43"/>
      <c r="N544" s="23"/>
      <c r="O544" s="43"/>
    </row>
    <row r="545">
      <c r="A545" s="23"/>
      <c r="B545" s="43"/>
      <c r="N545" s="23"/>
      <c r="O545" s="43"/>
    </row>
    <row r="546">
      <c r="A546" s="23"/>
      <c r="B546" s="43"/>
      <c r="N546" s="23"/>
      <c r="O546" s="43"/>
    </row>
    <row r="547">
      <c r="A547" s="23"/>
      <c r="B547" s="43"/>
      <c r="N547" s="23"/>
      <c r="O547" s="43"/>
    </row>
    <row r="548">
      <c r="A548" s="23"/>
      <c r="B548" s="43"/>
      <c r="N548" s="23"/>
      <c r="O548" s="43"/>
    </row>
    <row r="549">
      <c r="A549" s="23"/>
      <c r="B549" s="43"/>
      <c r="N549" s="23"/>
      <c r="O549" s="43"/>
    </row>
    <row r="550">
      <c r="A550" s="23"/>
      <c r="B550" s="43"/>
      <c r="N550" s="23"/>
      <c r="O550" s="43"/>
    </row>
    <row r="551">
      <c r="A551" s="23"/>
      <c r="B551" s="43"/>
      <c r="N551" s="23"/>
      <c r="O551" s="43"/>
    </row>
    <row r="552">
      <c r="A552" s="23"/>
      <c r="B552" s="43"/>
      <c r="N552" s="23"/>
      <c r="O552" s="43"/>
    </row>
    <row r="553">
      <c r="A553" s="23"/>
      <c r="B553" s="43"/>
      <c r="N553" s="23"/>
      <c r="O553" s="43"/>
    </row>
    <row r="554">
      <c r="A554" s="23"/>
      <c r="B554" s="43"/>
      <c r="N554" s="23"/>
      <c r="O554" s="43"/>
    </row>
    <row r="555">
      <c r="A555" s="23"/>
      <c r="B555" s="43"/>
      <c r="N555" s="23"/>
      <c r="O555" s="43"/>
    </row>
    <row r="556">
      <c r="A556" s="23"/>
      <c r="B556" s="43"/>
      <c r="N556" s="23"/>
      <c r="O556" s="43"/>
    </row>
    <row r="557">
      <c r="A557" s="23"/>
      <c r="B557" s="43"/>
      <c r="N557" s="23"/>
      <c r="O557" s="43"/>
    </row>
    <row r="558">
      <c r="A558" s="23"/>
      <c r="B558" s="43"/>
      <c r="N558" s="23"/>
      <c r="O558" s="43"/>
    </row>
    <row r="559">
      <c r="A559" s="23"/>
      <c r="B559" s="43"/>
      <c r="N559" s="23"/>
      <c r="O559" s="43"/>
    </row>
    <row r="560">
      <c r="A560" s="23"/>
      <c r="B560" s="43"/>
      <c r="N560" s="23"/>
      <c r="O560" s="43"/>
    </row>
    <row r="561">
      <c r="A561" s="23"/>
      <c r="B561" s="43"/>
      <c r="N561" s="23"/>
      <c r="O561" s="43"/>
    </row>
    <row r="562">
      <c r="A562" s="23"/>
      <c r="B562" s="43"/>
      <c r="N562" s="23"/>
      <c r="O562" s="43"/>
    </row>
    <row r="563">
      <c r="A563" s="23"/>
      <c r="B563" s="43"/>
      <c r="N563" s="23"/>
      <c r="O563" s="43"/>
    </row>
    <row r="564">
      <c r="A564" s="23"/>
      <c r="B564" s="43"/>
      <c r="N564" s="23"/>
      <c r="O564" s="43"/>
    </row>
    <row r="565">
      <c r="A565" s="23"/>
      <c r="B565" s="43"/>
      <c r="N565" s="23"/>
      <c r="O565" s="43"/>
    </row>
    <row r="566">
      <c r="A566" s="23"/>
      <c r="B566" s="43"/>
      <c r="N566" s="23"/>
      <c r="O566" s="43"/>
    </row>
    <row r="567">
      <c r="A567" s="23"/>
      <c r="B567" s="43"/>
      <c r="N567" s="23"/>
      <c r="O567" s="43"/>
    </row>
    <row r="568">
      <c r="A568" s="23"/>
      <c r="B568" s="43"/>
      <c r="N568" s="23"/>
      <c r="O568" s="43"/>
    </row>
    <row r="569">
      <c r="A569" s="23"/>
      <c r="B569" s="43"/>
      <c r="N569" s="23"/>
      <c r="O569" s="43"/>
    </row>
    <row r="570">
      <c r="A570" s="23"/>
      <c r="B570" s="43"/>
      <c r="N570" s="23"/>
      <c r="O570" s="43"/>
    </row>
    <row r="571">
      <c r="A571" s="23"/>
      <c r="B571" s="43"/>
      <c r="N571" s="23"/>
      <c r="O571" s="43"/>
    </row>
    <row r="572">
      <c r="A572" s="23"/>
      <c r="B572" s="43"/>
      <c r="N572" s="23"/>
      <c r="O572" s="43"/>
    </row>
    <row r="573">
      <c r="A573" s="23"/>
      <c r="B573" s="43"/>
      <c r="N573" s="23"/>
      <c r="O573" s="43"/>
    </row>
    <row r="574">
      <c r="A574" s="23"/>
      <c r="B574" s="43"/>
      <c r="N574" s="23"/>
      <c r="O574" s="43"/>
    </row>
    <row r="575">
      <c r="A575" s="23"/>
      <c r="B575" s="43"/>
      <c r="N575" s="23"/>
      <c r="O575" s="43"/>
    </row>
    <row r="576">
      <c r="A576" s="23"/>
      <c r="B576" s="43"/>
      <c r="N576" s="23"/>
      <c r="O576" s="43"/>
    </row>
    <row r="577">
      <c r="A577" s="23"/>
      <c r="B577" s="43"/>
      <c r="N577" s="23"/>
      <c r="O577" s="43"/>
    </row>
    <row r="578">
      <c r="A578" s="23"/>
      <c r="B578" s="43"/>
      <c r="N578" s="23"/>
      <c r="O578" s="43"/>
    </row>
    <row r="579">
      <c r="A579" s="23"/>
      <c r="B579" s="43"/>
      <c r="N579" s="23"/>
      <c r="O579" s="43"/>
    </row>
    <row r="580">
      <c r="A580" s="23"/>
      <c r="B580" s="43"/>
      <c r="N580" s="23"/>
      <c r="O580" s="43"/>
    </row>
    <row r="581">
      <c r="A581" s="23"/>
      <c r="B581" s="43"/>
      <c r="N581" s="23"/>
      <c r="O581" s="43"/>
    </row>
    <row r="582">
      <c r="A582" s="23"/>
      <c r="B582" s="43"/>
      <c r="N582" s="23"/>
      <c r="O582" s="43"/>
    </row>
    <row r="583">
      <c r="A583" s="23"/>
      <c r="B583" s="43"/>
      <c r="N583" s="23"/>
      <c r="O583" s="43"/>
    </row>
    <row r="584">
      <c r="A584" s="23"/>
      <c r="B584" s="43"/>
      <c r="N584" s="23"/>
      <c r="O584" s="43"/>
    </row>
    <row r="585">
      <c r="A585" s="23"/>
      <c r="B585" s="43"/>
      <c r="N585" s="23"/>
      <c r="O585" s="43"/>
    </row>
    <row r="586">
      <c r="A586" s="23"/>
      <c r="B586" s="43"/>
      <c r="N586" s="23"/>
      <c r="O586" s="43"/>
    </row>
    <row r="587">
      <c r="A587" s="23"/>
      <c r="B587" s="43"/>
      <c r="N587" s="23"/>
      <c r="O587" s="43"/>
    </row>
    <row r="588">
      <c r="A588" s="23"/>
      <c r="B588" s="43"/>
      <c r="N588" s="23"/>
      <c r="O588" s="43"/>
    </row>
    <row r="589">
      <c r="A589" s="23"/>
      <c r="B589" s="43"/>
      <c r="N589" s="23"/>
      <c r="O589" s="43"/>
    </row>
    <row r="590">
      <c r="A590" s="23"/>
      <c r="B590" s="43"/>
      <c r="N590" s="23"/>
      <c r="O590" s="43"/>
    </row>
    <row r="591">
      <c r="A591" s="23"/>
      <c r="B591" s="43"/>
      <c r="N591" s="23"/>
      <c r="O591" s="43"/>
    </row>
    <row r="592">
      <c r="A592" s="23"/>
      <c r="B592" s="43"/>
      <c r="N592" s="23"/>
      <c r="O592" s="43"/>
    </row>
    <row r="593">
      <c r="A593" s="23"/>
      <c r="B593" s="43"/>
      <c r="N593" s="23"/>
      <c r="O593" s="43"/>
    </row>
    <row r="594">
      <c r="A594" s="23"/>
      <c r="B594" s="43"/>
      <c r="N594" s="23"/>
      <c r="O594" s="43"/>
    </row>
    <row r="595">
      <c r="A595" s="23"/>
      <c r="B595" s="43"/>
      <c r="N595" s="23"/>
      <c r="O595" s="43"/>
    </row>
    <row r="596">
      <c r="A596" s="23"/>
      <c r="B596" s="43"/>
      <c r="N596" s="23"/>
      <c r="O596" s="43"/>
    </row>
    <row r="597">
      <c r="A597" s="23"/>
      <c r="B597" s="43"/>
      <c r="N597" s="23"/>
      <c r="O597" s="43"/>
    </row>
    <row r="598">
      <c r="A598" s="23"/>
      <c r="B598" s="43"/>
      <c r="N598" s="23"/>
      <c r="O598" s="43"/>
    </row>
    <row r="599">
      <c r="A599" s="23"/>
      <c r="B599" s="43"/>
      <c r="N599" s="23"/>
      <c r="O599" s="43"/>
    </row>
    <row r="600">
      <c r="A600" s="23"/>
      <c r="B600" s="43"/>
      <c r="N600" s="23"/>
      <c r="O600" s="43"/>
    </row>
    <row r="601">
      <c r="A601" s="23"/>
      <c r="B601" s="43"/>
      <c r="N601" s="23"/>
      <c r="O601" s="43"/>
    </row>
    <row r="602">
      <c r="A602" s="23"/>
      <c r="B602" s="43"/>
      <c r="N602" s="23"/>
      <c r="O602" s="43"/>
    </row>
    <row r="603">
      <c r="A603" s="23"/>
      <c r="B603" s="43"/>
      <c r="N603" s="23"/>
      <c r="O603" s="43"/>
    </row>
    <row r="604">
      <c r="A604" s="23"/>
      <c r="B604" s="43"/>
      <c r="N604" s="23"/>
      <c r="O604" s="43"/>
    </row>
    <row r="605">
      <c r="A605" s="23"/>
      <c r="B605" s="43"/>
      <c r="N605" s="23"/>
      <c r="O605" s="43"/>
    </row>
    <row r="606">
      <c r="A606" s="23"/>
      <c r="B606" s="43"/>
      <c r="N606" s="23"/>
      <c r="O606" s="43"/>
    </row>
    <row r="607">
      <c r="A607" s="23"/>
      <c r="B607" s="43"/>
      <c r="N607" s="23"/>
      <c r="O607" s="43"/>
    </row>
    <row r="608">
      <c r="A608" s="23"/>
      <c r="B608" s="43"/>
      <c r="N608" s="23"/>
      <c r="O608" s="43"/>
    </row>
    <row r="609">
      <c r="A609" s="23"/>
      <c r="B609" s="43"/>
      <c r="N609" s="23"/>
      <c r="O609" s="43"/>
    </row>
    <row r="610">
      <c r="A610" s="23"/>
      <c r="B610" s="43"/>
      <c r="N610" s="23"/>
      <c r="O610" s="43"/>
    </row>
    <row r="611">
      <c r="A611" s="23"/>
      <c r="B611" s="43"/>
      <c r="N611" s="23"/>
      <c r="O611" s="43"/>
    </row>
    <row r="612">
      <c r="A612" s="23"/>
      <c r="B612" s="43"/>
      <c r="N612" s="23"/>
      <c r="O612" s="43"/>
    </row>
    <row r="613">
      <c r="A613" s="23"/>
      <c r="B613" s="43"/>
      <c r="N613" s="23"/>
      <c r="O613" s="43"/>
    </row>
    <row r="614">
      <c r="A614" s="23"/>
      <c r="B614" s="43"/>
      <c r="N614" s="23"/>
      <c r="O614" s="43"/>
    </row>
    <row r="615">
      <c r="A615" s="23"/>
      <c r="B615" s="43"/>
      <c r="N615" s="23"/>
      <c r="O615" s="43"/>
    </row>
    <row r="616">
      <c r="A616" s="23"/>
      <c r="B616" s="43"/>
      <c r="N616" s="23"/>
      <c r="O616" s="43"/>
    </row>
    <row r="617">
      <c r="A617" s="23"/>
      <c r="B617" s="43"/>
      <c r="N617" s="23"/>
      <c r="O617" s="43"/>
    </row>
    <row r="618">
      <c r="A618" s="23"/>
      <c r="B618" s="43"/>
      <c r="N618" s="23"/>
      <c r="O618" s="43"/>
    </row>
    <row r="619">
      <c r="A619" s="23"/>
      <c r="B619" s="43"/>
      <c r="N619" s="23"/>
      <c r="O619" s="43"/>
    </row>
    <row r="620">
      <c r="A620" s="23"/>
      <c r="B620" s="43"/>
      <c r="N620" s="23"/>
      <c r="O620" s="43"/>
    </row>
    <row r="621">
      <c r="A621" s="23"/>
      <c r="B621" s="43"/>
      <c r="N621" s="23"/>
      <c r="O621" s="43"/>
    </row>
    <row r="622">
      <c r="A622" s="23"/>
      <c r="B622" s="43"/>
      <c r="N622" s="23"/>
      <c r="O622" s="43"/>
    </row>
    <row r="623">
      <c r="A623" s="23"/>
      <c r="B623" s="43"/>
      <c r="N623" s="23"/>
      <c r="O623" s="43"/>
    </row>
    <row r="624">
      <c r="A624" s="23"/>
      <c r="B624" s="43"/>
      <c r="N624" s="23"/>
      <c r="O624" s="43"/>
    </row>
    <row r="625">
      <c r="A625" s="23"/>
      <c r="B625" s="43"/>
      <c r="N625" s="23"/>
      <c r="O625" s="43"/>
    </row>
    <row r="626">
      <c r="A626" s="23"/>
      <c r="B626" s="43"/>
      <c r="N626" s="23"/>
      <c r="O626" s="43"/>
    </row>
    <row r="627">
      <c r="A627" s="23"/>
      <c r="B627" s="43"/>
      <c r="N627" s="23"/>
      <c r="O627" s="43"/>
    </row>
    <row r="628">
      <c r="A628" s="23"/>
      <c r="B628" s="43"/>
      <c r="N628" s="23"/>
      <c r="O628" s="43"/>
    </row>
    <row r="629">
      <c r="A629" s="23"/>
      <c r="B629" s="43"/>
      <c r="N629" s="23"/>
      <c r="O629" s="43"/>
    </row>
    <row r="630">
      <c r="A630" s="23"/>
      <c r="B630" s="43"/>
      <c r="N630" s="23"/>
      <c r="O630" s="43"/>
    </row>
    <row r="631">
      <c r="A631" s="23"/>
      <c r="B631" s="43"/>
      <c r="N631" s="23"/>
      <c r="O631" s="43"/>
    </row>
    <row r="632">
      <c r="A632" s="23"/>
      <c r="B632" s="43"/>
      <c r="N632" s="23"/>
      <c r="O632" s="43"/>
    </row>
    <row r="633">
      <c r="A633" s="23"/>
      <c r="B633" s="43"/>
      <c r="N633" s="23"/>
      <c r="O633" s="43"/>
    </row>
    <row r="634">
      <c r="A634" s="23"/>
      <c r="B634" s="43"/>
      <c r="N634" s="23"/>
      <c r="O634" s="43"/>
    </row>
    <row r="635">
      <c r="A635" s="23"/>
      <c r="B635" s="43"/>
      <c r="N635" s="23"/>
      <c r="O635" s="43"/>
    </row>
    <row r="636">
      <c r="A636" s="23"/>
      <c r="B636" s="43"/>
      <c r="N636" s="23"/>
      <c r="O636" s="43"/>
    </row>
    <row r="637">
      <c r="A637" s="23"/>
      <c r="B637" s="43"/>
      <c r="N637" s="23"/>
      <c r="O637" s="43"/>
    </row>
    <row r="638">
      <c r="A638" s="23"/>
      <c r="B638" s="43"/>
      <c r="N638" s="23"/>
      <c r="O638" s="43"/>
    </row>
    <row r="639">
      <c r="A639" s="23"/>
      <c r="B639" s="43"/>
      <c r="N639" s="23"/>
      <c r="O639" s="43"/>
    </row>
    <row r="640">
      <c r="A640" s="23"/>
      <c r="B640" s="43"/>
      <c r="N640" s="23"/>
      <c r="O640" s="43"/>
    </row>
    <row r="641">
      <c r="A641" s="23"/>
      <c r="B641" s="43"/>
      <c r="N641" s="23"/>
      <c r="O641" s="43"/>
    </row>
    <row r="642">
      <c r="A642" s="23"/>
      <c r="B642" s="43"/>
      <c r="N642" s="23"/>
      <c r="O642" s="43"/>
    </row>
    <row r="643">
      <c r="A643" s="23"/>
      <c r="B643" s="43"/>
      <c r="N643" s="23"/>
      <c r="O643" s="43"/>
    </row>
    <row r="644">
      <c r="A644" s="23"/>
      <c r="B644" s="43"/>
      <c r="N644" s="23"/>
      <c r="O644" s="43"/>
    </row>
    <row r="645">
      <c r="A645" s="23"/>
      <c r="B645" s="43"/>
      <c r="N645" s="23"/>
      <c r="O645" s="43"/>
    </row>
    <row r="646">
      <c r="A646" s="23"/>
      <c r="B646" s="43"/>
      <c r="N646" s="23"/>
      <c r="O646" s="43"/>
    </row>
    <row r="647">
      <c r="A647" s="23"/>
      <c r="B647" s="43"/>
      <c r="N647" s="23"/>
      <c r="O647" s="43"/>
    </row>
    <row r="648">
      <c r="A648" s="23"/>
      <c r="B648" s="43"/>
      <c r="N648" s="23"/>
      <c r="O648" s="43"/>
    </row>
    <row r="649">
      <c r="A649" s="23"/>
      <c r="B649" s="43"/>
      <c r="N649" s="23"/>
      <c r="O649" s="43"/>
    </row>
    <row r="650">
      <c r="A650" s="23"/>
      <c r="B650" s="43"/>
      <c r="N650" s="23"/>
      <c r="O650" s="43"/>
    </row>
    <row r="651">
      <c r="A651" s="23"/>
      <c r="B651" s="43"/>
      <c r="N651" s="23"/>
      <c r="O651" s="43"/>
    </row>
    <row r="652">
      <c r="A652" s="23"/>
      <c r="B652" s="43"/>
      <c r="N652" s="23"/>
      <c r="O652" s="43"/>
    </row>
    <row r="653">
      <c r="A653" s="23"/>
      <c r="B653" s="43"/>
      <c r="N653" s="23"/>
      <c r="O653" s="43"/>
    </row>
    <row r="654">
      <c r="A654" s="23"/>
      <c r="B654" s="43"/>
      <c r="N654" s="23"/>
      <c r="O654" s="43"/>
    </row>
    <row r="655">
      <c r="A655" s="23"/>
      <c r="B655" s="43"/>
      <c r="N655" s="23"/>
      <c r="O655" s="43"/>
    </row>
    <row r="656">
      <c r="A656" s="23"/>
      <c r="B656" s="43"/>
      <c r="N656" s="23"/>
      <c r="O656" s="43"/>
    </row>
    <row r="657">
      <c r="A657" s="23"/>
      <c r="B657" s="43"/>
      <c r="N657" s="23"/>
      <c r="O657" s="43"/>
    </row>
    <row r="658">
      <c r="A658" s="23"/>
      <c r="B658" s="43"/>
      <c r="N658" s="23"/>
      <c r="O658" s="43"/>
    </row>
    <row r="659">
      <c r="A659" s="23"/>
      <c r="B659" s="43"/>
      <c r="N659" s="23"/>
      <c r="O659" s="43"/>
    </row>
    <row r="660">
      <c r="A660" s="23"/>
      <c r="B660" s="43"/>
      <c r="N660" s="23"/>
      <c r="O660" s="43"/>
    </row>
    <row r="661">
      <c r="A661" s="23"/>
      <c r="B661" s="43"/>
      <c r="N661" s="23"/>
      <c r="O661" s="43"/>
    </row>
    <row r="662">
      <c r="A662" s="23"/>
      <c r="B662" s="43"/>
      <c r="N662" s="23"/>
      <c r="O662" s="43"/>
    </row>
    <row r="663">
      <c r="A663" s="23"/>
      <c r="B663" s="43"/>
      <c r="N663" s="23"/>
      <c r="O663" s="43"/>
    </row>
    <row r="664">
      <c r="A664" s="23"/>
      <c r="B664" s="43"/>
      <c r="N664" s="23"/>
      <c r="O664" s="43"/>
    </row>
    <row r="665">
      <c r="A665" s="23"/>
      <c r="B665" s="43"/>
      <c r="N665" s="23"/>
      <c r="O665" s="43"/>
    </row>
    <row r="666">
      <c r="A666" s="23"/>
      <c r="B666" s="43"/>
      <c r="N666" s="23"/>
      <c r="O666" s="43"/>
    </row>
    <row r="667">
      <c r="A667" s="23"/>
      <c r="B667" s="43"/>
      <c r="N667" s="23"/>
      <c r="O667" s="43"/>
    </row>
    <row r="668">
      <c r="A668" s="23"/>
      <c r="B668" s="43"/>
      <c r="N668" s="23"/>
      <c r="O668" s="43"/>
    </row>
    <row r="669">
      <c r="A669" s="23"/>
      <c r="B669" s="43"/>
      <c r="N669" s="23"/>
      <c r="O669" s="43"/>
    </row>
    <row r="670">
      <c r="A670" s="23"/>
      <c r="B670" s="43"/>
      <c r="N670" s="23"/>
      <c r="O670" s="43"/>
    </row>
    <row r="671">
      <c r="A671" s="23"/>
      <c r="B671" s="43"/>
      <c r="N671" s="23"/>
      <c r="O671" s="43"/>
    </row>
    <row r="672">
      <c r="A672" s="23"/>
      <c r="B672" s="43"/>
      <c r="N672" s="23"/>
      <c r="O672" s="43"/>
    </row>
    <row r="673">
      <c r="A673" s="23"/>
      <c r="B673" s="43"/>
      <c r="N673" s="23"/>
      <c r="O673" s="43"/>
    </row>
    <row r="674">
      <c r="A674" s="23"/>
      <c r="B674" s="43"/>
      <c r="N674" s="23"/>
      <c r="O674" s="43"/>
    </row>
    <row r="675">
      <c r="A675" s="23"/>
      <c r="B675" s="43"/>
      <c r="N675" s="23"/>
      <c r="O675" s="43"/>
    </row>
    <row r="676">
      <c r="A676" s="23"/>
      <c r="B676" s="43"/>
      <c r="N676" s="23"/>
      <c r="O676" s="43"/>
    </row>
    <row r="677">
      <c r="A677" s="23"/>
      <c r="B677" s="43"/>
      <c r="N677" s="23"/>
      <c r="O677" s="43"/>
    </row>
    <row r="678">
      <c r="A678" s="23"/>
      <c r="B678" s="43"/>
      <c r="N678" s="23"/>
      <c r="O678" s="43"/>
    </row>
    <row r="679">
      <c r="A679" s="23"/>
      <c r="B679" s="43"/>
      <c r="N679" s="23"/>
      <c r="O679" s="43"/>
    </row>
    <row r="680">
      <c r="A680" s="23"/>
      <c r="B680" s="43"/>
      <c r="N680" s="23"/>
      <c r="O680" s="43"/>
    </row>
    <row r="681">
      <c r="A681" s="23"/>
      <c r="B681" s="43"/>
      <c r="N681" s="23"/>
      <c r="O681" s="43"/>
    </row>
    <row r="682">
      <c r="A682" s="23"/>
      <c r="B682" s="43"/>
      <c r="N682" s="23"/>
      <c r="O682" s="43"/>
    </row>
    <row r="683">
      <c r="A683" s="23"/>
      <c r="B683" s="43"/>
      <c r="N683" s="23"/>
      <c r="O683" s="43"/>
    </row>
    <row r="684">
      <c r="A684" s="23"/>
      <c r="B684" s="43"/>
      <c r="N684" s="23"/>
      <c r="O684" s="43"/>
    </row>
    <row r="685">
      <c r="A685" s="23"/>
      <c r="B685" s="43"/>
      <c r="N685" s="23"/>
      <c r="O685" s="43"/>
    </row>
    <row r="686">
      <c r="A686" s="23"/>
      <c r="B686" s="43"/>
      <c r="N686" s="23"/>
      <c r="O686" s="43"/>
    </row>
    <row r="687">
      <c r="A687" s="23"/>
      <c r="B687" s="43"/>
      <c r="N687" s="23"/>
      <c r="O687" s="43"/>
    </row>
    <row r="688">
      <c r="A688" s="23"/>
      <c r="B688" s="43"/>
      <c r="N688" s="23"/>
      <c r="O688" s="43"/>
    </row>
    <row r="689">
      <c r="A689" s="23"/>
      <c r="B689" s="43"/>
      <c r="N689" s="23"/>
      <c r="O689" s="43"/>
    </row>
    <row r="690">
      <c r="A690" s="23"/>
      <c r="B690" s="43"/>
      <c r="N690" s="23"/>
      <c r="O690" s="43"/>
    </row>
    <row r="691">
      <c r="A691" s="23"/>
      <c r="B691" s="43"/>
      <c r="N691" s="23"/>
      <c r="O691" s="43"/>
    </row>
    <row r="692">
      <c r="A692" s="23"/>
      <c r="B692" s="43"/>
      <c r="N692" s="23"/>
      <c r="O692" s="43"/>
    </row>
    <row r="693">
      <c r="A693" s="23"/>
      <c r="B693" s="43"/>
      <c r="N693" s="23"/>
      <c r="O693" s="43"/>
    </row>
    <row r="694">
      <c r="A694" s="23"/>
      <c r="B694" s="43"/>
      <c r="N694" s="23"/>
      <c r="O694" s="43"/>
    </row>
    <row r="695">
      <c r="A695" s="23"/>
      <c r="B695" s="43"/>
      <c r="N695" s="23"/>
      <c r="O695" s="43"/>
    </row>
    <row r="696">
      <c r="A696" s="23"/>
      <c r="B696" s="43"/>
      <c r="N696" s="23"/>
      <c r="O696" s="43"/>
    </row>
    <row r="697">
      <c r="A697" s="23"/>
      <c r="B697" s="43"/>
      <c r="N697" s="23"/>
      <c r="O697" s="43"/>
    </row>
    <row r="698">
      <c r="A698" s="23"/>
      <c r="B698" s="43"/>
      <c r="N698" s="23"/>
      <c r="O698" s="43"/>
    </row>
    <row r="699">
      <c r="A699" s="23"/>
      <c r="B699" s="43"/>
      <c r="N699" s="23"/>
      <c r="O699" s="43"/>
    </row>
    <row r="700">
      <c r="A700" s="23"/>
      <c r="B700" s="43"/>
      <c r="N700" s="23"/>
      <c r="O700" s="43"/>
    </row>
    <row r="701">
      <c r="A701" s="23"/>
      <c r="B701" s="43"/>
      <c r="N701" s="23"/>
      <c r="O701" s="43"/>
    </row>
    <row r="702">
      <c r="A702" s="23"/>
      <c r="B702" s="43"/>
      <c r="N702" s="23"/>
      <c r="O702" s="43"/>
    </row>
    <row r="703">
      <c r="A703" s="23"/>
      <c r="B703" s="43"/>
      <c r="N703" s="23"/>
      <c r="O703" s="43"/>
    </row>
    <row r="704">
      <c r="A704" s="23"/>
      <c r="B704" s="43"/>
      <c r="N704" s="23"/>
      <c r="O704" s="43"/>
    </row>
    <row r="705">
      <c r="A705" s="23"/>
      <c r="B705" s="43"/>
      <c r="N705" s="23"/>
      <c r="O705" s="43"/>
    </row>
    <row r="706">
      <c r="A706" s="23"/>
      <c r="B706" s="43"/>
      <c r="N706" s="23"/>
      <c r="O706" s="43"/>
    </row>
    <row r="707">
      <c r="A707" s="23"/>
      <c r="B707" s="43"/>
      <c r="N707" s="23"/>
      <c r="O707" s="43"/>
    </row>
    <row r="708">
      <c r="A708" s="23"/>
      <c r="B708" s="43"/>
      <c r="N708" s="23"/>
      <c r="O708" s="43"/>
    </row>
    <row r="709">
      <c r="A709" s="23"/>
      <c r="B709" s="43"/>
      <c r="N709" s="23"/>
      <c r="O709" s="43"/>
    </row>
    <row r="710">
      <c r="A710" s="23"/>
      <c r="B710" s="43"/>
      <c r="N710" s="23"/>
      <c r="O710" s="43"/>
    </row>
    <row r="711">
      <c r="A711" s="23"/>
      <c r="B711" s="43"/>
      <c r="N711" s="23"/>
      <c r="O711" s="43"/>
    </row>
    <row r="712">
      <c r="A712" s="23"/>
      <c r="B712" s="43"/>
      <c r="N712" s="23"/>
      <c r="O712" s="43"/>
    </row>
    <row r="713">
      <c r="A713" s="23"/>
      <c r="B713" s="43"/>
      <c r="N713" s="23"/>
      <c r="O713" s="43"/>
    </row>
    <row r="714">
      <c r="A714" s="23"/>
      <c r="B714" s="43"/>
      <c r="N714" s="23"/>
      <c r="O714" s="43"/>
    </row>
    <row r="715">
      <c r="A715" s="23"/>
      <c r="B715" s="43"/>
      <c r="N715" s="23"/>
      <c r="O715" s="43"/>
    </row>
    <row r="716">
      <c r="A716" s="23"/>
      <c r="B716" s="43"/>
      <c r="N716" s="23"/>
      <c r="O716" s="43"/>
    </row>
    <row r="717">
      <c r="A717" s="23"/>
      <c r="B717" s="43"/>
      <c r="N717" s="23"/>
      <c r="O717" s="43"/>
    </row>
    <row r="718">
      <c r="A718" s="23"/>
      <c r="B718" s="43"/>
      <c r="N718" s="23"/>
      <c r="O718" s="43"/>
    </row>
    <row r="719">
      <c r="A719" s="23"/>
      <c r="B719" s="43"/>
      <c r="N719" s="23"/>
      <c r="O719" s="43"/>
    </row>
    <row r="720">
      <c r="A720" s="23"/>
      <c r="B720" s="43"/>
      <c r="N720" s="23"/>
      <c r="O720" s="43"/>
    </row>
    <row r="721">
      <c r="A721" s="23"/>
      <c r="B721" s="43"/>
      <c r="N721" s="23"/>
      <c r="O721" s="43"/>
    </row>
    <row r="722">
      <c r="A722" s="23"/>
      <c r="B722" s="43"/>
      <c r="N722" s="23"/>
      <c r="O722" s="43"/>
    </row>
    <row r="723">
      <c r="A723" s="23"/>
      <c r="B723" s="43"/>
      <c r="N723" s="23"/>
      <c r="O723" s="43"/>
    </row>
    <row r="724">
      <c r="A724" s="23"/>
      <c r="B724" s="43"/>
      <c r="N724" s="23"/>
      <c r="O724" s="43"/>
    </row>
    <row r="725">
      <c r="A725" s="23"/>
      <c r="B725" s="43"/>
      <c r="N725" s="23"/>
      <c r="O725" s="43"/>
    </row>
    <row r="726">
      <c r="A726" s="23"/>
      <c r="B726" s="43"/>
      <c r="N726" s="23"/>
      <c r="O726" s="43"/>
    </row>
    <row r="727">
      <c r="A727" s="23"/>
      <c r="B727" s="43"/>
      <c r="N727" s="23"/>
      <c r="O727" s="43"/>
    </row>
    <row r="728">
      <c r="A728" s="23"/>
      <c r="B728" s="43"/>
      <c r="N728" s="23"/>
      <c r="O728" s="43"/>
    </row>
    <row r="729">
      <c r="A729" s="23"/>
      <c r="B729" s="43"/>
      <c r="N729" s="23"/>
      <c r="O729" s="43"/>
    </row>
    <row r="730">
      <c r="A730" s="23"/>
      <c r="B730" s="43"/>
      <c r="N730" s="23"/>
      <c r="O730" s="43"/>
    </row>
    <row r="731">
      <c r="A731" s="23"/>
      <c r="B731" s="43"/>
      <c r="N731" s="23"/>
      <c r="O731" s="43"/>
    </row>
    <row r="732">
      <c r="A732" s="23"/>
      <c r="B732" s="43"/>
      <c r="N732" s="23"/>
      <c r="O732" s="43"/>
    </row>
    <row r="733">
      <c r="A733" s="23"/>
      <c r="B733" s="43"/>
      <c r="N733" s="23"/>
      <c r="O733" s="43"/>
    </row>
    <row r="734">
      <c r="A734" s="23"/>
      <c r="B734" s="43"/>
      <c r="N734" s="23"/>
      <c r="O734" s="43"/>
    </row>
    <row r="735">
      <c r="A735" s="23"/>
      <c r="B735" s="43"/>
      <c r="N735" s="23"/>
      <c r="O735" s="43"/>
    </row>
    <row r="736">
      <c r="A736" s="23"/>
      <c r="B736" s="43"/>
      <c r="N736" s="23"/>
      <c r="O736" s="43"/>
    </row>
    <row r="737">
      <c r="A737" s="23"/>
      <c r="B737" s="43"/>
      <c r="N737" s="23"/>
      <c r="O737" s="43"/>
    </row>
    <row r="738">
      <c r="A738" s="23"/>
      <c r="B738" s="43"/>
      <c r="N738" s="23"/>
      <c r="O738" s="43"/>
    </row>
    <row r="739">
      <c r="A739" s="23"/>
      <c r="B739" s="43"/>
      <c r="N739" s="23"/>
      <c r="O739" s="43"/>
    </row>
    <row r="740">
      <c r="A740" s="23"/>
      <c r="B740" s="43"/>
      <c r="N740" s="23"/>
      <c r="O740" s="43"/>
    </row>
    <row r="741">
      <c r="A741" s="23"/>
      <c r="B741" s="43"/>
      <c r="N741" s="23"/>
      <c r="O741" s="43"/>
    </row>
    <row r="742">
      <c r="A742" s="23"/>
      <c r="B742" s="43"/>
      <c r="N742" s="23"/>
      <c r="O742" s="43"/>
    </row>
    <row r="743">
      <c r="A743" s="23"/>
      <c r="B743" s="43"/>
      <c r="N743" s="23"/>
      <c r="O743" s="43"/>
    </row>
    <row r="744">
      <c r="A744" s="23"/>
      <c r="B744" s="43"/>
      <c r="N744" s="23"/>
      <c r="O744" s="43"/>
    </row>
    <row r="745">
      <c r="A745" s="23"/>
      <c r="B745" s="43"/>
      <c r="N745" s="23"/>
      <c r="O745" s="43"/>
    </row>
    <row r="746">
      <c r="A746" s="23"/>
      <c r="B746" s="43"/>
      <c r="N746" s="23"/>
      <c r="O746" s="43"/>
    </row>
    <row r="747">
      <c r="A747" s="23"/>
      <c r="B747" s="43"/>
      <c r="N747" s="23"/>
      <c r="O747" s="43"/>
    </row>
    <row r="748">
      <c r="A748" s="23"/>
      <c r="B748" s="43"/>
      <c r="N748" s="23"/>
      <c r="O748" s="43"/>
    </row>
    <row r="749">
      <c r="A749" s="23"/>
      <c r="B749" s="43"/>
      <c r="N749" s="23"/>
      <c r="O749" s="43"/>
    </row>
    <row r="750">
      <c r="A750" s="23"/>
      <c r="B750" s="43"/>
      <c r="N750" s="23"/>
      <c r="O750" s="43"/>
    </row>
    <row r="751">
      <c r="A751" s="23"/>
      <c r="B751" s="43"/>
      <c r="N751" s="23"/>
      <c r="O751" s="43"/>
    </row>
    <row r="752">
      <c r="A752" s="23"/>
      <c r="B752" s="43"/>
      <c r="N752" s="23"/>
      <c r="O752" s="43"/>
    </row>
    <row r="753">
      <c r="A753" s="23"/>
      <c r="B753" s="43"/>
      <c r="N753" s="23"/>
      <c r="O753" s="43"/>
    </row>
    <row r="754">
      <c r="A754" s="23"/>
      <c r="B754" s="43"/>
      <c r="N754" s="23"/>
      <c r="O754" s="43"/>
    </row>
    <row r="755">
      <c r="A755" s="23"/>
      <c r="B755" s="43"/>
      <c r="N755" s="23"/>
      <c r="O755" s="43"/>
    </row>
    <row r="756">
      <c r="A756" s="23"/>
      <c r="B756" s="43"/>
      <c r="N756" s="23"/>
      <c r="O756" s="43"/>
    </row>
    <row r="757">
      <c r="A757" s="23"/>
      <c r="B757" s="43"/>
      <c r="N757" s="23"/>
      <c r="O757" s="43"/>
    </row>
    <row r="758">
      <c r="A758" s="23"/>
      <c r="B758" s="43"/>
      <c r="N758" s="23"/>
      <c r="O758" s="43"/>
    </row>
    <row r="759">
      <c r="A759" s="23"/>
      <c r="B759" s="43"/>
      <c r="N759" s="23"/>
      <c r="O759" s="43"/>
    </row>
    <row r="760">
      <c r="A760" s="23"/>
      <c r="B760" s="43"/>
      <c r="N760" s="23"/>
      <c r="O760" s="43"/>
    </row>
    <row r="761">
      <c r="A761" s="23"/>
      <c r="B761" s="43"/>
      <c r="N761" s="23"/>
      <c r="O761" s="43"/>
    </row>
    <row r="762">
      <c r="A762" s="23"/>
      <c r="B762" s="43"/>
      <c r="N762" s="23"/>
      <c r="O762" s="43"/>
    </row>
    <row r="763">
      <c r="A763" s="23"/>
      <c r="B763" s="43"/>
      <c r="N763" s="23"/>
      <c r="O763" s="43"/>
    </row>
    <row r="764">
      <c r="A764" s="23"/>
      <c r="B764" s="43"/>
      <c r="N764" s="23"/>
      <c r="O764" s="43"/>
    </row>
    <row r="765">
      <c r="A765" s="23"/>
      <c r="B765" s="43"/>
      <c r="N765" s="23"/>
      <c r="O765" s="43"/>
    </row>
    <row r="766">
      <c r="A766" s="23"/>
      <c r="B766" s="43"/>
      <c r="N766" s="23"/>
      <c r="O766" s="43"/>
    </row>
    <row r="767">
      <c r="A767" s="23"/>
      <c r="B767" s="43"/>
      <c r="N767" s="23"/>
      <c r="O767" s="43"/>
    </row>
    <row r="768">
      <c r="A768" s="23"/>
      <c r="B768" s="43"/>
      <c r="N768" s="23"/>
      <c r="O768" s="43"/>
    </row>
    <row r="769">
      <c r="A769" s="23"/>
      <c r="B769" s="43"/>
      <c r="N769" s="23"/>
      <c r="O769" s="43"/>
    </row>
    <row r="770">
      <c r="A770" s="23"/>
      <c r="B770" s="43"/>
      <c r="N770" s="23"/>
      <c r="O770" s="43"/>
    </row>
    <row r="771">
      <c r="A771" s="23"/>
      <c r="B771" s="43"/>
      <c r="N771" s="23"/>
      <c r="O771" s="43"/>
    </row>
    <row r="772">
      <c r="A772" s="23"/>
      <c r="B772" s="43"/>
      <c r="N772" s="23"/>
      <c r="O772" s="43"/>
    </row>
    <row r="773">
      <c r="A773" s="23"/>
      <c r="B773" s="43"/>
      <c r="N773" s="23"/>
      <c r="O773" s="43"/>
    </row>
    <row r="774">
      <c r="A774" s="23"/>
      <c r="B774" s="43"/>
      <c r="N774" s="23"/>
      <c r="O774" s="43"/>
    </row>
    <row r="775">
      <c r="A775" s="23"/>
      <c r="B775" s="43"/>
      <c r="N775" s="23"/>
      <c r="O775" s="43"/>
    </row>
    <row r="776">
      <c r="A776" s="23"/>
      <c r="B776" s="43"/>
      <c r="N776" s="23"/>
      <c r="O776" s="43"/>
    </row>
    <row r="777">
      <c r="A777" s="23"/>
      <c r="B777" s="43"/>
      <c r="N777" s="23"/>
      <c r="O777" s="43"/>
    </row>
    <row r="778">
      <c r="A778" s="23"/>
      <c r="B778" s="43"/>
      <c r="N778" s="23"/>
      <c r="O778" s="43"/>
    </row>
    <row r="779">
      <c r="A779" s="23"/>
      <c r="B779" s="43"/>
      <c r="N779" s="23"/>
      <c r="O779" s="43"/>
    </row>
    <row r="780">
      <c r="A780" s="23"/>
      <c r="B780" s="43"/>
      <c r="N780" s="23"/>
      <c r="O780" s="43"/>
    </row>
    <row r="781">
      <c r="A781" s="23"/>
      <c r="B781" s="43"/>
      <c r="N781" s="23"/>
      <c r="O781" s="43"/>
    </row>
    <row r="782">
      <c r="A782" s="23"/>
      <c r="B782" s="43"/>
      <c r="N782" s="23"/>
      <c r="O782" s="43"/>
    </row>
    <row r="783">
      <c r="A783" s="23"/>
      <c r="B783" s="43"/>
      <c r="N783" s="23"/>
      <c r="O783" s="43"/>
    </row>
    <row r="784">
      <c r="A784" s="23"/>
      <c r="B784" s="43"/>
      <c r="N784" s="23"/>
      <c r="O784" s="43"/>
    </row>
    <row r="785">
      <c r="A785" s="23"/>
      <c r="B785" s="43"/>
      <c r="N785" s="23"/>
      <c r="O785" s="43"/>
    </row>
    <row r="786">
      <c r="A786" s="23"/>
      <c r="B786" s="43"/>
      <c r="N786" s="23"/>
      <c r="O786" s="43"/>
    </row>
    <row r="787">
      <c r="A787" s="23"/>
      <c r="B787" s="43"/>
      <c r="N787" s="23"/>
      <c r="O787" s="43"/>
    </row>
    <row r="788">
      <c r="A788" s="23"/>
      <c r="B788" s="43"/>
      <c r="N788" s="23"/>
      <c r="O788" s="43"/>
    </row>
    <row r="789">
      <c r="A789" s="23"/>
      <c r="B789" s="43"/>
      <c r="N789" s="23"/>
      <c r="O789" s="43"/>
    </row>
    <row r="790">
      <c r="A790" s="23"/>
      <c r="B790" s="43"/>
      <c r="N790" s="23"/>
      <c r="O790" s="43"/>
    </row>
    <row r="791">
      <c r="A791" s="23"/>
      <c r="B791" s="43"/>
      <c r="N791" s="23"/>
      <c r="O791" s="43"/>
    </row>
    <row r="792">
      <c r="A792" s="23"/>
      <c r="B792" s="43"/>
      <c r="N792" s="23"/>
      <c r="O792" s="43"/>
    </row>
    <row r="793">
      <c r="A793" s="23"/>
      <c r="B793" s="43"/>
      <c r="N793" s="23"/>
      <c r="O793" s="43"/>
    </row>
    <row r="794">
      <c r="A794" s="23"/>
      <c r="B794" s="43"/>
      <c r="N794" s="23"/>
      <c r="O794" s="43"/>
    </row>
    <row r="795">
      <c r="A795" s="23"/>
      <c r="B795" s="43"/>
      <c r="N795" s="23"/>
      <c r="O795" s="43"/>
    </row>
    <row r="796">
      <c r="A796" s="23"/>
      <c r="B796" s="43"/>
      <c r="N796" s="23"/>
      <c r="O796" s="43"/>
    </row>
    <row r="797">
      <c r="A797" s="23"/>
      <c r="B797" s="43"/>
      <c r="N797" s="23"/>
      <c r="O797" s="43"/>
    </row>
    <row r="798">
      <c r="A798" s="23"/>
      <c r="B798" s="43"/>
      <c r="N798" s="23"/>
      <c r="O798" s="43"/>
    </row>
    <row r="799">
      <c r="A799" s="23"/>
      <c r="B799" s="43"/>
      <c r="N799" s="23"/>
      <c r="O799" s="43"/>
    </row>
    <row r="800">
      <c r="A800" s="23"/>
      <c r="B800" s="43"/>
      <c r="N800" s="23"/>
      <c r="O800" s="43"/>
    </row>
    <row r="801">
      <c r="A801" s="23"/>
      <c r="B801" s="43"/>
      <c r="N801" s="23"/>
      <c r="O801" s="43"/>
    </row>
    <row r="802">
      <c r="A802" s="23"/>
      <c r="B802" s="43"/>
      <c r="N802" s="23"/>
      <c r="O802" s="43"/>
    </row>
    <row r="803">
      <c r="A803" s="23"/>
      <c r="B803" s="43"/>
      <c r="N803" s="23"/>
      <c r="O803" s="43"/>
    </row>
    <row r="804">
      <c r="A804" s="23"/>
      <c r="B804" s="43"/>
      <c r="N804" s="23"/>
      <c r="O804" s="43"/>
    </row>
    <row r="805">
      <c r="A805" s="23"/>
      <c r="B805" s="43"/>
      <c r="N805" s="23"/>
      <c r="O805" s="43"/>
    </row>
    <row r="806">
      <c r="A806" s="23"/>
      <c r="B806" s="43"/>
      <c r="N806" s="23"/>
      <c r="O806" s="43"/>
    </row>
    <row r="807">
      <c r="A807" s="23"/>
      <c r="B807" s="43"/>
      <c r="N807" s="23"/>
      <c r="O807" s="43"/>
    </row>
    <row r="808">
      <c r="A808" s="23"/>
      <c r="B808" s="43"/>
      <c r="N808" s="23"/>
      <c r="O808" s="43"/>
    </row>
    <row r="809">
      <c r="A809" s="23"/>
      <c r="B809" s="43"/>
      <c r="N809" s="23"/>
      <c r="O809" s="43"/>
    </row>
    <row r="810">
      <c r="A810" s="23"/>
      <c r="B810" s="43"/>
      <c r="N810" s="23"/>
      <c r="O810" s="43"/>
    </row>
    <row r="811">
      <c r="A811" s="23"/>
      <c r="B811" s="43"/>
      <c r="N811" s="23"/>
      <c r="O811" s="43"/>
    </row>
    <row r="812">
      <c r="A812" s="23"/>
      <c r="B812" s="43"/>
      <c r="N812" s="23"/>
      <c r="O812" s="43"/>
    </row>
    <row r="813">
      <c r="A813" s="23"/>
      <c r="B813" s="43"/>
      <c r="N813" s="23"/>
      <c r="O813" s="43"/>
    </row>
    <row r="814">
      <c r="A814" s="23"/>
      <c r="B814" s="43"/>
      <c r="N814" s="23"/>
      <c r="O814" s="43"/>
    </row>
    <row r="815">
      <c r="A815" s="23"/>
      <c r="B815" s="43"/>
      <c r="N815" s="23"/>
      <c r="O815" s="43"/>
    </row>
    <row r="816">
      <c r="A816" s="23"/>
      <c r="B816" s="43"/>
      <c r="N816" s="23"/>
      <c r="O816" s="43"/>
    </row>
    <row r="817">
      <c r="A817" s="23"/>
      <c r="B817" s="43"/>
      <c r="N817" s="23"/>
      <c r="O817" s="43"/>
    </row>
    <row r="818">
      <c r="A818" s="23"/>
      <c r="B818" s="43"/>
      <c r="N818" s="23"/>
      <c r="O818" s="43"/>
    </row>
    <row r="819">
      <c r="A819" s="23"/>
      <c r="B819" s="43"/>
      <c r="N819" s="23"/>
      <c r="O819" s="43"/>
    </row>
    <row r="820">
      <c r="A820" s="23"/>
      <c r="B820" s="43"/>
      <c r="N820" s="23"/>
      <c r="O820" s="43"/>
    </row>
    <row r="821">
      <c r="A821" s="23"/>
      <c r="B821" s="43"/>
      <c r="N821" s="23"/>
      <c r="O821" s="43"/>
    </row>
    <row r="822">
      <c r="A822" s="23"/>
      <c r="B822" s="43"/>
      <c r="N822" s="23"/>
      <c r="O822" s="43"/>
    </row>
    <row r="823">
      <c r="A823" s="23"/>
      <c r="B823" s="43"/>
      <c r="N823" s="23"/>
      <c r="O823" s="43"/>
    </row>
    <row r="824">
      <c r="A824" s="23"/>
      <c r="B824" s="43"/>
      <c r="N824" s="23"/>
      <c r="O824" s="43"/>
    </row>
    <row r="825">
      <c r="A825" s="23"/>
      <c r="B825" s="43"/>
      <c r="N825" s="23"/>
      <c r="O825" s="43"/>
    </row>
    <row r="826">
      <c r="A826" s="23"/>
      <c r="B826" s="43"/>
      <c r="N826" s="23"/>
      <c r="O826" s="43"/>
    </row>
    <row r="827">
      <c r="A827" s="23"/>
      <c r="B827" s="43"/>
      <c r="N827" s="23"/>
      <c r="O827" s="43"/>
    </row>
    <row r="828">
      <c r="A828" s="23"/>
      <c r="B828" s="43"/>
      <c r="N828" s="23"/>
      <c r="O828" s="43"/>
    </row>
    <row r="829">
      <c r="A829" s="23"/>
      <c r="B829" s="43"/>
      <c r="N829" s="23"/>
      <c r="O829" s="43"/>
    </row>
    <row r="830">
      <c r="A830" s="23"/>
      <c r="B830" s="43"/>
      <c r="N830" s="23"/>
      <c r="O830" s="43"/>
    </row>
    <row r="831">
      <c r="A831" s="23"/>
      <c r="B831" s="43"/>
      <c r="N831" s="23"/>
      <c r="O831" s="43"/>
    </row>
    <row r="832">
      <c r="A832" s="23"/>
      <c r="B832" s="43"/>
      <c r="N832" s="23"/>
      <c r="O832" s="43"/>
    </row>
    <row r="833">
      <c r="A833" s="23"/>
      <c r="B833" s="43"/>
      <c r="N833" s="23"/>
      <c r="O833" s="43"/>
    </row>
    <row r="834">
      <c r="A834" s="23"/>
      <c r="B834" s="43"/>
      <c r="N834" s="23"/>
      <c r="O834" s="43"/>
    </row>
    <row r="835">
      <c r="A835" s="23"/>
      <c r="B835" s="43"/>
      <c r="N835" s="23"/>
      <c r="O835" s="43"/>
    </row>
    <row r="836">
      <c r="A836" s="23"/>
      <c r="B836" s="43"/>
      <c r="N836" s="23"/>
      <c r="O836" s="43"/>
    </row>
    <row r="837">
      <c r="A837" s="23"/>
      <c r="B837" s="43"/>
      <c r="N837" s="23"/>
      <c r="O837" s="43"/>
    </row>
    <row r="838">
      <c r="A838" s="23"/>
      <c r="B838" s="43"/>
      <c r="N838" s="23"/>
      <c r="O838" s="43"/>
    </row>
    <row r="839">
      <c r="A839" s="23"/>
      <c r="B839" s="43"/>
      <c r="N839" s="23"/>
      <c r="O839" s="43"/>
    </row>
    <row r="840">
      <c r="A840" s="23"/>
      <c r="B840" s="43"/>
      <c r="N840" s="23"/>
      <c r="O840" s="43"/>
    </row>
    <row r="841">
      <c r="A841" s="23"/>
      <c r="B841" s="43"/>
      <c r="N841" s="23"/>
      <c r="O841" s="43"/>
    </row>
    <row r="842">
      <c r="A842" s="23"/>
      <c r="B842" s="43"/>
      <c r="N842" s="23"/>
      <c r="O842" s="43"/>
    </row>
    <row r="843">
      <c r="A843" s="23"/>
      <c r="B843" s="43"/>
      <c r="N843" s="23"/>
      <c r="O843" s="43"/>
    </row>
    <row r="844">
      <c r="A844" s="23"/>
      <c r="B844" s="43"/>
      <c r="N844" s="23"/>
      <c r="O844" s="43"/>
    </row>
    <row r="845">
      <c r="A845" s="23"/>
      <c r="B845" s="43"/>
      <c r="N845" s="23"/>
      <c r="O845" s="43"/>
    </row>
    <row r="846">
      <c r="A846" s="23"/>
      <c r="B846" s="43"/>
      <c r="N846" s="23"/>
      <c r="O846" s="43"/>
    </row>
    <row r="847">
      <c r="A847" s="23"/>
      <c r="B847" s="43"/>
      <c r="N847" s="23"/>
      <c r="O847" s="43"/>
    </row>
    <row r="848">
      <c r="A848" s="23"/>
      <c r="B848" s="43"/>
      <c r="N848" s="23"/>
      <c r="O848" s="43"/>
    </row>
    <row r="849">
      <c r="A849" s="23"/>
      <c r="B849" s="43"/>
      <c r="N849" s="23"/>
      <c r="O849" s="43"/>
    </row>
    <row r="850">
      <c r="A850" s="23"/>
      <c r="B850" s="43"/>
      <c r="N850" s="23"/>
      <c r="O850" s="43"/>
    </row>
    <row r="851">
      <c r="A851" s="23"/>
      <c r="B851" s="43"/>
      <c r="N851" s="23"/>
      <c r="O851" s="43"/>
    </row>
    <row r="852">
      <c r="A852" s="23"/>
      <c r="B852" s="43"/>
      <c r="N852" s="23"/>
      <c r="O852" s="43"/>
    </row>
    <row r="853">
      <c r="A853" s="23"/>
      <c r="B853" s="43"/>
      <c r="N853" s="23"/>
      <c r="O853" s="43"/>
    </row>
    <row r="854">
      <c r="A854" s="23"/>
      <c r="B854" s="43"/>
      <c r="N854" s="23"/>
      <c r="O854" s="43"/>
    </row>
    <row r="855">
      <c r="A855" s="23"/>
      <c r="B855" s="43"/>
      <c r="N855" s="23"/>
      <c r="O855" s="43"/>
    </row>
    <row r="856">
      <c r="A856" s="23"/>
      <c r="B856" s="43"/>
      <c r="N856" s="23"/>
      <c r="O856" s="43"/>
    </row>
    <row r="857">
      <c r="A857" s="23"/>
      <c r="B857" s="43"/>
      <c r="N857" s="23"/>
      <c r="O857" s="43"/>
    </row>
    <row r="858">
      <c r="A858" s="23"/>
      <c r="B858" s="43"/>
      <c r="N858" s="23"/>
      <c r="O858" s="43"/>
    </row>
    <row r="859">
      <c r="A859" s="23"/>
      <c r="B859" s="43"/>
      <c r="N859" s="23"/>
      <c r="O859" s="43"/>
    </row>
    <row r="860">
      <c r="A860" s="23"/>
      <c r="B860" s="43"/>
      <c r="N860" s="23"/>
      <c r="O860" s="43"/>
    </row>
    <row r="861">
      <c r="A861" s="23"/>
      <c r="B861" s="43"/>
      <c r="N861" s="23"/>
      <c r="O861" s="43"/>
    </row>
    <row r="862">
      <c r="A862" s="23"/>
      <c r="B862" s="43"/>
      <c r="N862" s="23"/>
      <c r="O862" s="43"/>
    </row>
    <row r="863">
      <c r="A863" s="23"/>
      <c r="B863" s="43"/>
      <c r="N863" s="23"/>
      <c r="O863" s="43"/>
    </row>
    <row r="864">
      <c r="A864" s="23"/>
      <c r="B864" s="43"/>
      <c r="N864" s="23"/>
      <c r="O864" s="43"/>
    </row>
    <row r="865">
      <c r="A865" s="23"/>
      <c r="B865" s="43"/>
      <c r="N865" s="23"/>
      <c r="O865" s="43"/>
    </row>
    <row r="866">
      <c r="A866" s="23"/>
      <c r="B866" s="43"/>
      <c r="N866" s="23"/>
      <c r="O866" s="43"/>
    </row>
    <row r="867">
      <c r="A867" s="23"/>
      <c r="B867" s="43"/>
      <c r="N867" s="23"/>
      <c r="O867" s="43"/>
    </row>
    <row r="868">
      <c r="A868" s="23"/>
      <c r="B868" s="43"/>
      <c r="N868" s="23"/>
      <c r="O868" s="43"/>
    </row>
    <row r="869">
      <c r="A869" s="23"/>
      <c r="B869" s="43"/>
      <c r="N869" s="23"/>
      <c r="O869" s="43"/>
    </row>
    <row r="870">
      <c r="A870" s="23"/>
      <c r="B870" s="43"/>
      <c r="N870" s="23"/>
      <c r="O870" s="43"/>
    </row>
    <row r="871">
      <c r="A871" s="23"/>
      <c r="B871" s="43"/>
      <c r="N871" s="23"/>
      <c r="O871" s="43"/>
    </row>
    <row r="872">
      <c r="A872" s="23"/>
      <c r="B872" s="43"/>
      <c r="N872" s="23"/>
      <c r="O872" s="43"/>
    </row>
    <row r="873">
      <c r="A873" s="23"/>
      <c r="B873" s="43"/>
      <c r="N873" s="23"/>
      <c r="O873" s="43"/>
    </row>
    <row r="874">
      <c r="A874" s="23"/>
      <c r="B874" s="43"/>
      <c r="N874" s="23"/>
      <c r="O874" s="43"/>
    </row>
    <row r="875">
      <c r="A875" s="23"/>
      <c r="B875" s="43"/>
      <c r="N875" s="23"/>
      <c r="O875" s="43"/>
    </row>
    <row r="876">
      <c r="A876" s="23"/>
      <c r="B876" s="43"/>
      <c r="N876" s="23"/>
      <c r="O876" s="43"/>
    </row>
    <row r="877">
      <c r="A877" s="23"/>
      <c r="B877" s="43"/>
      <c r="N877" s="23"/>
      <c r="O877" s="43"/>
    </row>
    <row r="878">
      <c r="A878" s="23"/>
      <c r="B878" s="43"/>
      <c r="N878" s="23"/>
      <c r="O878" s="43"/>
    </row>
    <row r="879">
      <c r="A879" s="23"/>
      <c r="B879" s="43"/>
      <c r="N879" s="23"/>
      <c r="O879" s="43"/>
    </row>
    <row r="880">
      <c r="A880" s="23"/>
      <c r="B880" s="43"/>
      <c r="N880" s="23"/>
      <c r="O880" s="43"/>
    </row>
    <row r="881">
      <c r="A881" s="23"/>
      <c r="B881" s="43"/>
      <c r="N881" s="23"/>
      <c r="O881" s="43"/>
    </row>
    <row r="882">
      <c r="A882" s="23"/>
      <c r="B882" s="43"/>
      <c r="N882" s="23"/>
      <c r="O882" s="43"/>
    </row>
    <row r="883">
      <c r="A883" s="23"/>
      <c r="B883" s="43"/>
      <c r="N883" s="23"/>
      <c r="O883" s="43"/>
    </row>
    <row r="884">
      <c r="A884" s="23"/>
      <c r="B884" s="43"/>
      <c r="N884" s="23"/>
      <c r="O884" s="43"/>
    </row>
    <row r="885">
      <c r="A885" s="23"/>
      <c r="B885" s="43"/>
      <c r="N885" s="23"/>
      <c r="O885" s="43"/>
    </row>
    <row r="886">
      <c r="A886" s="23"/>
      <c r="B886" s="43"/>
      <c r="N886" s="23"/>
      <c r="O886" s="43"/>
    </row>
    <row r="887">
      <c r="A887" s="23"/>
      <c r="B887" s="43"/>
      <c r="N887" s="23"/>
      <c r="O887" s="43"/>
    </row>
    <row r="888">
      <c r="A888" s="23"/>
      <c r="B888" s="43"/>
      <c r="N888" s="23"/>
      <c r="O888" s="43"/>
    </row>
    <row r="889">
      <c r="A889" s="23"/>
      <c r="B889" s="43"/>
      <c r="N889" s="23"/>
      <c r="O889" s="43"/>
    </row>
    <row r="890">
      <c r="A890" s="23"/>
      <c r="B890" s="43"/>
      <c r="N890" s="23"/>
      <c r="O890" s="43"/>
    </row>
    <row r="891">
      <c r="A891" s="23"/>
      <c r="B891" s="43"/>
      <c r="N891" s="23"/>
      <c r="O891" s="43"/>
    </row>
    <row r="892">
      <c r="A892" s="23"/>
      <c r="B892" s="43"/>
      <c r="N892" s="23"/>
      <c r="O892" s="43"/>
    </row>
    <row r="893">
      <c r="A893" s="23"/>
      <c r="B893" s="43"/>
      <c r="N893" s="23"/>
      <c r="O893" s="43"/>
    </row>
    <row r="894">
      <c r="A894" s="23"/>
      <c r="B894" s="43"/>
      <c r="N894" s="23"/>
      <c r="O894" s="43"/>
    </row>
    <row r="895">
      <c r="A895" s="23"/>
      <c r="B895" s="43"/>
      <c r="N895" s="23"/>
      <c r="O895" s="43"/>
    </row>
    <row r="896">
      <c r="A896" s="23"/>
      <c r="B896" s="43"/>
      <c r="N896" s="23"/>
      <c r="O896" s="43"/>
    </row>
    <row r="897">
      <c r="A897" s="23"/>
      <c r="B897" s="43"/>
      <c r="N897" s="23"/>
      <c r="O897" s="43"/>
    </row>
    <row r="898">
      <c r="A898" s="23"/>
      <c r="B898" s="43"/>
      <c r="N898" s="23"/>
      <c r="O898" s="43"/>
    </row>
    <row r="899">
      <c r="A899" s="23"/>
      <c r="B899" s="43"/>
      <c r="N899" s="23"/>
      <c r="O899" s="43"/>
    </row>
    <row r="900">
      <c r="A900" s="23"/>
      <c r="B900" s="43"/>
      <c r="N900" s="23"/>
      <c r="O900" s="43"/>
    </row>
    <row r="901">
      <c r="A901" s="23"/>
      <c r="B901" s="43"/>
      <c r="N901" s="23"/>
      <c r="O901" s="43"/>
    </row>
    <row r="902">
      <c r="A902" s="23"/>
      <c r="B902" s="43"/>
      <c r="N902" s="23"/>
      <c r="O902" s="43"/>
    </row>
    <row r="903">
      <c r="A903" s="23"/>
      <c r="B903" s="43"/>
      <c r="N903" s="23"/>
      <c r="O903" s="43"/>
    </row>
    <row r="904">
      <c r="A904" s="23"/>
      <c r="B904" s="43"/>
      <c r="N904" s="23"/>
      <c r="O904" s="43"/>
    </row>
    <row r="905">
      <c r="A905" s="23"/>
      <c r="B905" s="43"/>
      <c r="N905" s="23"/>
      <c r="O905" s="43"/>
    </row>
    <row r="906">
      <c r="A906" s="23"/>
      <c r="B906" s="43"/>
      <c r="N906" s="23"/>
      <c r="O906" s="43"/>
    </row>
    <row r="907">
      <c r="A907" s="23"/>
      <c r="B907" s="43"/>
      <c r="N907" s="23"/>
      <c r="O907" s="43"/>
    </row>
    <row r="908">
      <c r="A908" s="23"/>
      <c r="B908" s="43"/>
      <c r="N908" s="23"/>
      <c r="O908" s="43"/>
    </row>
    <row r="909">
      <c r="A909" s="23"/>
      <c r="B909" s="43"/>
      <c r="N909" s="23"/>
      <c r="O909" s="43"/>
    </row>
    <row r="910">
      <c r="A910" s="23"/>
      <c r="B910" s="43"/>
      <c r="N910" s="23"/>
      <c r="O910" s="43"/>
    </row>
    <row r="911">
      <c r="A911" s="23"/>
      <c r="B911" s="43"/>
      <c r="N911" s="23"/>
      <c r="O911" s="43"/>
    </row>
    <row r="912">
      <c r="A912" s="23"/>
      <c r="B912" s="43"/>
      <c r="N912" s="23"/>
      <c r="O912" s="43"/>
    </row>
    <row r="913">
      <c r="A913" s="23"/>
      <c r="B913" s="43"/>
      <c r="N913" s="23"/>
      <c r="O913" s="43"/>
    </row>
    <row r="914">
      <c r="A914" s="23"/>
      <c r="B914" s="43"/>
      <c r="N914" s="23"/>
      <c r="O914" s="43"/>
    </row>
    <row r="915">
      <c r="A915" s="23"/>
      <c r="B915" s="43"/>
      <c r="N915" s="23"/>
      <c r="O915" s="43"/>
    </row>
    <row r="916">
      <c r="A916" s="23"/>
      <c r="B916" s="43"/>
      <c r="N916" s="23"/>
      <c r="O916" s="43"/>
    </row>
    <row r="917">
      <c r="A917" s="23"/>
      <c r="B917" s="43"/>
      <c r="N917" s="23"/>
      <c r="O917" s="43"/>
    </row>
    <row r="918">
      <c r="A918" s="23"/>
      <c r="B918" s="43"/>
      <c r="N918" s="23"/>
      <c r="O918" s="43"/>
    </row>
    <row r="919">
      <c r="A919" s="23"/>
      <c r="B919" s="43"/>
      <c r="N919" s="23"/>
      <c r="O919" s="43"/>
    </row>
    <row r="920">
      <c r="A920" s="23"/>
      <c r="B920" s="43"/>
      <c r="N920" s="23"/>
      <c r="O920" s="43"/>
    </row>
    <row r="921">
      <c r="A921" s="23"/>
      <c r="B921" s="43"/>
      <c r="N921" s="23"/>
      <c r="O921" s="43"/>
    </row>
    <row r="922">
      <c r="A922" s="23"/>
      <c r="B922" s="43"/>
      <c r="N922" s="23"/>
      <c r="O922" s="43"/>
    </row>
    <row r="923">
      <c r="A923" s="23"/>
      <c r="B923" s="43"/>
      <c r="N923" s="23"/>
      <c r="O923" s="43"/>
    </row>
    <row r="924">
      <c r="A924" s="23"/>
      <c r="B924" s="43"/>
      <c r="N924" s="23"/>
      <c r="O924" s="43"/>
    </row>
    <row r="925">
      <c r="A925" s="23"/>
      <c r="B925" s="43"/>
      <c r="N925" s="23"/>
      <c r="O925" s="43"/>
    </row>
    <row r="926">
      <c r="A926" s="23"/>
      <c r="B926" s="43"/>
      <c r="N926" s="23"/>
      <c r="O926" s="43"/>
    </row>
    <row r="927">
      <c r="A927" s="23"/>
      <c r="B927" s="43"/>
      <c r="N927" s="23"/>
      <c r="O927" s="43"/>
    </row>
    <row r="928">
      <c r="A928" s="23"/>
      <c r="B928" s="43"/>
      <c r="N928" s="23"/>
      <c r="O928" s="43"/>
    </row>
    <row r="929">
      <c r="A929" s="23"/>
      <c r="B929" s="43"/>
      <c r="N929" s="23"/>
      <c r="O929" s="43"/>
    </row>
    <row r="930">
      <c r="A930" s="23"/>
      <c r="B930" s="43"/>
      <c r="N930" s="23"/>
      <c r="O930" s="43"/>
    </row>
    <row r="931">
      <c r="A931" s="23"/>
      <c r="B931" s="43"/>
      <c r="N931" s="23"/>
      <c r="O931" s="43"/>
    </row>
    <row r="932">
      <c r="A932" s="23"/>
      <c r="B932" s="43"/>
      <c r="N932" s="23"/>
      <c r="O932" s="43"/>
    </row>
    <row r="933">
      <c r="A933" s="23"/>
      <c r="B933" s="43"/>
      <c r="N933" s="23"/>
      <c r="O933" s="43"/>
    </row>
    <row r="934">
      <c r="A934" s="23"/>
      <c r="B934" s="43"/>
      <c r="N934" s="23"/>
      <c r="O934" s="43"/>
    </row>
    <row r="935">
      <c r="A935" s="23"/>
      <c r="B935" s="43"/>
      <c r="N935" s="23"/>
      <c r="O935" s="43"/>
    </row>
    <row r="936">
      <c r="A936" s="23"/>
      <c r="B936" s="43"/>
      <c r="N936" s="23"/>
      <c r="O936" s="43"/>
    </row>
    <row r="937">
      <c r="A937" s="23"/>
      <c r="B937" s="43"/>
      <c r="N937" s="23"/>
      <c r="O937" s="43"/>
    </row>
    <row r="938">
      <c r="A938" s="23"/>
      <c r="B938" s="43"/>
      <c r="N938" s="23"/>
      <c r="O938" s="43"/>
    </row>
    <row r="939">
      <c r="A939" s="23"/>
      <c r="B939" s="43"/>
      <c r="N939" s="23"/>
      <c r="O939" s="43"/>
    </row>
    <row r="940">
      <c r="A940" s="23"/>
      <c r="B940" s="43"/>
      <c r="N940" s="23"/>
      <c r="O940" s="43"/>
    </row>
    <row r="941">
      <c r="A941" s="23"/>
      <c r="B941" s="43"/>
      <c r="N941" s="23"/>
      <c r="O941" s="43"/>
    </row>
    <row r="942">
      <c r="A942" s="23"/>
      <c r="B942" s="43"/>
      <c r="N942" s="23"/>
      <c r="O942" s="43"/>
    </row>
    <row r="943">
      <c r="A943" s="23"/>
      <c r="B943" s="43"/>
      <c r="N943" s="23"/>
      <c r="O943" s="43"/>
    </row>
    <row r="944">
      <c r="A944" s="23"/>
      <c r="B944" s="43"/>
      <c r="N944" s="23"/>
      <c r="O944" s="43"/>
    </row>
    <row r="945">
      <c r="A945" s="23"/>
      <c r="B945" s="43"/>
      <c r="N945" s="23"/>
      <c r="O945" s="43"/>
    </row>
    <row r="946">
      <c r="A946" s="23"/>
      <c r="B946" s="43"/>
      <c r="N946" s="23"/>
      <c r="O946" s="43"/>
    </row>
    <row r="947">
      <c r="A947" s="23"/>
      <c r="B947" s="43"/>
      <c r="N947" s="23"/>
      <c r="O947" s="43"/>
    </row>
    <row r="948">
      <c r="A948" s="23"/>
      <c r="B948" s="43"/>
      <c r="N948" s="23"/>
      <c r="O948" s="43"/>
    </row>
    <row r="949">
      <c r="A949" s="23"/>
      <c r="B949" s="43"/>
      <c r="N949" s="23"/>
      <c r="O949" s="43"/>
    </row>
    <row r="950">
      <c r="A950" s="23"/>
      <c r="B950" s="43"/>
      <c r="N950" s="23"/>
      <c r="O950" s="43"/>
    </row>
    <row r="951">
      <c r="A951" s="23"/>
      <c r="B951" s="43"/>
      <c r="N951" s="23"/>
      <c r="O951" s="43"/>
    </row>
    <row r="952">
      <c r="A952" s="23"/>
      <c r="B952" s="43"/>
      <c r="N952" s="23"/>
      <c r="O952" s="43"/>
    </row>
    <row r="953">
      <c r="A953" s="23"/>
      <c r="B953" s="43"/>
      <c r="N953" s="23"/>
      <c r="O953" s="43"/>
    </row>
    <row r="954">
      <c r="A954" s="23"/>
      <c r="B954" s="43"/>
      <c r="N954" s="23"/>
      <c r="O954" s="43"/>
    </row>
    <row r="955">
      <c r="A955" s="23"/>
      <c r="B955" s="43"/>
      <c r="N955" s="23"/>
      <c r="O955" s="43"/>
    </row>
    <row r="956">
      <c r="A956" s="23"/>
      <c r="B956" s="43"/>
      <c r="N956" s="23"/>
      <c r="O956" s="43"/>
    </row>
    <row r="957">
      <c r="A957" s="23"/>
      <c r="B957" s="43"/>
      <c r="N957" s="23"/>
      <c r="O957" s="43"/>
    </row>
    <row r="958">
      <c r="A958" s="23"/>
      <c r="B958" s="43"/>
      <c r="N958" s="23"/>
      <c r="O958" s="43"/>
    </row>
    <row r="959">
      <c r="A959" s="23"/>
      <c r="B959" s="43"/>
      <c r="N959" s="23"/>
      <c r="O959" s="43"/>
    </row>
    <row r="960">
      <c r="A960" s="23"/>
      <c r="B960" s="43"/>
      <c r="N960" s="23"/>
      <c r="O960" s="43"/>
    </row>
    <row r="961">
      <c r="A961" s="23"/>
      <c r="B961" s="43"/>
      <c r="N961" s="23"/>
      <c r="O961" s="43"/>
    </row>
    <row r="962">
      <c r="A962" s="23"/>
      <c r="B962" s="43"/>
      <c r="N962" s="23"/>
      <c r="O962" s="43"/>
    </row>
    <row r="963">
      <c r="A963" s="23"/>
      <c r="B963" s="43"/>
      <c r="N963" s="23"/>
      <c r="O963" s="43"/>
    </row>
    <row r="964">
      <c r="A964" s="23"/>
      <c r="B964" s="43"/>
      <c r="N964" s="23"/>
      <c r="O964" s="43"/>
    </row>
    <row r="965">
      <c r="A965" s="23"/>
      <c r="B965" s="43"/>
      <c r="N965" s="23"/>
      <c r="O965" s="43"/>
    </row>
    <row r="966">
      <c r="A966" s="23"/>
      <c r="B966" s="43"/>
      <c r="N966" s="23"/>
      <c r="O966" s="43"/>
    </row>
    <row r="967">
      <c r="A967" s="23"/>
      <c r="B967" s="43"/>
      <c r="N967" s="23"/>
      <c r="O967" s="43"/>
    </row>
    <row r="968">
      <c r="A968" s="23"/>
      <c r="B968" s="43"/>
      <c r="N968" s="23"/>
      <c r="O968" s="43"/>
    </row>
    <row r="969">
      <c r="A969" s="23"/>
      <c r="B969" s="43"/>
      <c r="N969" s="23"/>
      <c r="O969" s="43"/>
    </row>
    <row r="970">
      <c r="A970" s="23"/>
      <c r="B970" s="43"/>
      <c r="N970" s="23"/>
      <c r="O970" s="43"/>
    </row>
    <row r="971">
      <c r="A971" s="23"/>
      <c r="B971" s="43"/>
      <c r="N971" s="23"/>
      <c r="O971" s="43"/>
    </row>
    <row r="972">
      <c r="A972" s="23"/>
      <c r="B972" s="43"/>
      <c r="N972" s="23"/>
      <c r="O972" s="43"/>
    </row>
    <row r="973">
      <c r="A973" s="23"/>
      <c r="B973" s="43"/>
      <c r="N973" s="23"/>
      <c r="O973" s="43"/>
    </row>
    <row r="974">
      <c r="A974" s="23"/>
      <c r="B974" s="43"/>
      <c r="N974" s="23"/>
      <c r="O974" s="43"/>
    </row>
    <row r="975">
      <c r="A975" s="23"/>
      <c r="B975" s="43"/>
      <c r="N975" s="23"/>
      <c r="O975" s="43"/>
    </row>
    <row r="976">
      <c r="A976" s="23"/>
      <c r="B976" s="43"/>
      <c r="N976" s="23"/>
      <c r="O976" s="43"/>
    </row>
    <row r="977">
      <c r="A977" s="23"/>
      <c r="B977" s="43"/>
      <c r="N977" s="23"/>
      <c r="O977" s="43"/>
    </row>
    <row r="978">
      <c r="A978" s="23"/>
      <c r="B978" s="43"/>
      <c r="N978" s="23"/>
      <c r="O978" s="43"/>
    </row>
    <row r="979">
      <c r="A979" s="23"/>
      <c r="B979" s="43"/>
      <c r="N979" s="23"/>
      <c r="O979" s="43"/>
    </row>
    <row r="980">
      <c r="A980" s="23"/>
      <c r="B980" s="43"/>
      <c r="N980" s="23"/>
      <c r="O980" s="43"/>
    </row>
    <row r="981">
      <c r="A981" s="23"/>
      <c r="B981" s="43"/>
      <c r="N981" s="23"/>
      <c r="O981" s="43"/>
    </row>
    <row r="982">
      <c r="A982" s="23"/>
      <c r="B982" s="43"/>
      <c r="N982" s="23"/>
      <c r="O982" s="43"/>
    </row>
    <row r="983">
      <c r="A983" s="23"/>
      <c r="B983" s="43"/>
      <c r="N983" s="23"/>
      <c r="O983" s="43"/>
    </row>
    <row r="984">
      <c r="A984" s="23"/>
      <c r="B984" s="43"/>
      <c r="N984" s="23"/>
      <c r="O984" s="43"/>
    </row>
    <row r="985">
      <c r="A985" s="23"/>
      <c r="B985" s="43"/>
      <c r="N985" s="23"/>
      <c r="O985" s="43"/>
    </row>
    <row r="986">
      <c r="A986" s="23"/>
      <c r="B986" s="43"/>
      <c r="N986" s="23"/>
      <c r="O986" s="43"/>
    </row>
    <row r="987">
      <c r="A987" s="23"/>
      <c r="B987" s="43"/>
      <c r="N987" s="23"/>
      <c r="O987" s="43"/>
    </row>
    <row r="988">
      <c r="A988" s="23"/>
      <c r="B988" s="43"/>
      <c r="N988" s="23"/>
      <c r="O988" s="43"/>
    </row>
    <row r="989">
      <c r="A989" s="23"/>
      <c r="B989" s="43"/>
      <c r="N989" s="23"/>
      <c r="O989" s="43"/>
    </row>
    <row r="990">
      <c r="A990" s="23"/>
      <c r="B990" s="43"/>
      <c r="N990" s="23"/>
      <c r="O990" s="43"/>
    </row>
    <row r="991">
      <c r="A991" s="23"/>
      <c r="B991" s="43"/>
      <c r="N991" s="23"/>
      <c r="O991" s="43"/>
    </row>
    <row r="992">
      <c r="A992" s="23"/>
      <c r="B992" s="43"/>
      <c r="N992" s="23"/>
      <c r="O992" s="43"/>
    </row>
    <row r="993">
      <c r="A993" s="23"/>
      <c r="B993" s="43"/>
      <c r="N993" s="23"/>
      <c r="O993" s="43"/>
    </row>
    <row r="994">
      <c r="A994" s="23"/>
      <c r="B994" s="43"/>
      <c r="N994" s="23"/>
      <c r="O994" s="43"/>
    </row>
    <row r="995">
      <c r="A995" s="23"/>
      <c r="B995" s="43"/>
      <c r="N995" s="23"/>
      <c r="O995" s="43"/>
    </row>
    <row r="996">
      <c r="A996" s="23"/>
      <c r="B996" s="43"/>
      <c r="N996" s="23"/>
      <c r="O996" s="43"/>
    </row>
    <row r="997">
      <c r="A997" s="23"/>
      <c r="B997" s="43"/>
      <c r="N997" s="23"/>
      <c r="O997" s="43"/>
    </row>
    <row r="998">
      <c r="A998" s="23"/>
      <c r="B998" s="43"/>
      <c r="N998" s="23"/>
      <c r="O998" s="43"/>
    </row>
    <row r="999">
      <c r="A999" s="23"/>
      <c r="B999" s="43"/>
      <c r="N999" s="23"/>
      <c r="O999" s="43"/>
    </row>
    <row r="1000">
      <c r="A1000" s="23"/>
      <c r="B1000" s="43"/>
      <c r="N1000" s="23"/>
      <c r="O1000" s="43"/>
    </row>
  </sheetData>
  <mergeCells count="4">
    <mergeCell ref="D1:H5"/>
    <mergeCell ref="D25:G25"/>
    <mergeCell ref="Q1:U5"/>
    <mergeCell ref="Q25:T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5" max="5" width="27.63"/>
    <col customWidth="1" min="6" max="6" width="13.75"/>
  </cols>
  <sheetData>
    <row r="1">
      <c r="A1" s="1" t="s">
        <v>0</v>
      </c>
      <c r="B1" s="35" t="s">
        <v>26</v>
      </c>
      <c r="C1" s="36" t="s">
        <v>15</v>
      </c>
      <c r="F1" s="3" t="s">
        <v>64</v>
      </c>
    </row>
    <row r="2">
      <c r="A2" s="7">
        <v>46091.0</v>
      </c>
      <c r="B2" s="43">
        <f>VLOOKUP(A2,'Return prepared data'!A:L,6,0)</f>
        <v>0.004994173464</v>
      </c>
      <c r="C2" s="43">
        <f>VLOOKUP(A2,'Return prepared data'!A:L,7,0)</f>
        <v>0.006273122085</v>
      </c>
      <c r="E2" s="57" t="s">
        <v>65</v>
      </c>
    </row>
    <row r="3">
      <c r="A3" s="13">
        <v>46090.0</v>
      </c>
      <c r="B3" s="43">
        <f>VLOOKUP(A3,'Return prepared data'!A:L,6,0)</f>
        <v>-0.005381240169</v>
      </c>
      <c r="C3" s="43">
        <f>VLOOKUP(A3,'Return prepared data'!A:L,7,0)</f>
        <v>0.00436187399</v>
      </c>
      <c r="E3" s="57" t="s">
        <v>66</v>
      </c>
    </row>
    <row r="4">
      <c r="A4" s="7">
        <v>46083.0</v>
      </c>
      <c r="B4" s="43">
        <f>VLOOKUP(A4,'Return prepared data'!A:L,6,0)</f>
        <v>0.06151682925</v>
      </c>
      <c r="C4" s="43">
        <f>VLOOKUP(A4,'Return prepared data'!A:L,7,0)</f>
        <v>-0.03243454474</v>
      </c>
    </row>
    <row r="5">
      <c r="A5" s="13">
        <v>46076.0</v>
      </c>
      <c r="B5" s="43">
        <f>VLOOKUP(A5,'Return prepared data'!A:L,6,0)</f>
        <v>-0.02485217242</v>
      </c>
      <c r="C5" s="43">
        <f>VLOOKUP(A5,'Return prepared data'!A:L,7,0)</f>
        <v>0.04032848199</v>
      </c>
      <c r="E5" s="46" t="s">
        <v>67</v>
      </c>
      <c r="F5" s="58">
        <f>STDEV(B:B)</f>
        <v>0.03401410046</v>
      </c>
    </row>
    <row r="6">
      <c r="A6" s="7">
        <v>46069.0</v>
      </c>
      <c r="B6" s="43">
        <f>VLOOKUP(A6,'Return prepared data'!A:L,6,0)</f>
        <v>0.01832620648</v>
      </c>
      <c r="C6" s="43">
        <f>VLOOKUP(A6,'Return prepared data'!A:L,7,0)</f>
        <v>-0.08141011278</v>
      </c>
      <c r="E6" s="46" t="s">
        <v>68</v>
      </c>
      <c r="F6" s="59">
        <f>STDEV(C:C)</f>
        <v>0.03413262933</v>
      </c>
    </row>
    <row r="7">
      <c r="A7" s="13">
        <v>46062.0</v>
      </c>
      <c r="B7" s="43">
        <f>VLOOKUP(A7,'Return prepared data'!A:L,6,0)</f>
        <v>0.001748404581</v>
      </c>
      <c r="C7" s="43">
        <f>VLOOKUP(A7,'Return prepared data'!A:L,7,0)</f>
        <v>0.02065863699</v>
      </c>
      <c r="E7" s="46" t="s">
        <v>69</v>
      </c>
      <c r="F7" s="46">
        <v>52.0</v>
      </c>
    </row>
    <row r="8">
      <c r="A8" s="7">
        <v>46055.0</v>
      </c>
      <c r="B8" s="43">
        <f>VLOOKUP(A8,'Return prepared data'!A:L,6,0)</f>
        <v>0.09558471411</v>
      </c>
      <c r="C8" s="43">
        <f>VLOOKUP(A8,'Return prepared data'!A:L,7,0)</f>
        <v>0.1010575793</v>
      </c>
      <c r="E8" s="46" t="s">
        <v>70</v>
      </c>
      <c r="F8" s="46">
        <v>52.0</v>
      </c>
    </row>
    <row r="9">
      <c r="A9" s="13">
        <v>46048.0</v>
      </c>
      <c r="B9" s="43">
        <f>VLOOKUP(A9,'Return prepared data'!A:L,6,0)</f>
        <v>-0.02429679469</v>
      </c>
      <c r="C9" s="43">
        <f>VLOOKUP(A9,'Return prepared data'!A:L,7,0)</f>
        <v>0.01197655653</v>
      </c>
      <c r="E9" s="25" t="s">
        <v>71</v>
      </c>
      <c r="F9" s="60">
        <f t="shared" ref="F9:F10" si="1">F5^2</f>
        <v>0.00115695903</v>
      </c>
    </row>
    <row r="10">
      <c r="A10" s="7">
        <v>46041.0</v>
      </c>
      <c r="B10" s="43">
        <f>VLOOKUP(A10,'Return prepared data'!A:L,6,0)</f>
        <v>-0.02859477124</v>
      </c>
      <c r="C10" s="43">
        <f>VLOOKUP(A10,'Return prepared data'!A:L,7,0)</f>
        <v>-0.01645781119</v>
      </c>
      <c r="E10" s="25" t="s">
        <v>72</v>
      </c>
      <c r="F10" s="60">
        <f t="shared" si="1"/>
        <v>0.001165036385</v>
      </c>
    </row>
    <row r="11">
      <c r="A11" s="13">
        <v>46034.0</v>
      </c>
      <c r="B11" s="43">
        <f>VLOOKUP(A11,'Return prepared data'!A:L,6,0)</f>
        <v>0.05456634118</v>
      </c>
      <c r="C11" s="43">
        <f>VLOOKUP(A11,'Return prepared data'!A:L,7,0)</f>
        <v>0.04514101109</v>
      </c>
      <c r="E11" s="25" t="s">
        <v>73</v>
      </c>
      <c r="F11" s="41">
        <f t="shared" ref="F11:F12" si="2">F7-1</f>
        <v>51</v>
      </c>
    </row>
    <row r="12">
      <c r="A12" s="7">
        <v>46027.0</v>
      </c>
      <c r="B12" s="43">
        <f>VLOOKUP(A12,'Return prepared data'!A:L,6,0)</f>
        <v>0.04984924623</v>
      </c>
      <c r="C12" s="43">
        <f>VLOOKUP(A12,'Return prepared data'!A:L,7,0)</f>
        <v>0.01569705569</v>
      </c>
      <c r="E12" s="25" t="s">
        <v>74</v>
      </c>
      <c r="F12" s="41">
        <f t="shared" si="2"/>
        <v>51</v>
      </c>
    </row>
    <row r="13">
      <c r="A13" s="13">
        <v>46020.0</v>
      </c>
      <c r="B13" s="43">
        <f>VLOOKUP(A13,'Return prepared data'!A:L,6,0)</f>
        <v>0.009639776763</v>
      </c>
      <c r="C13" s="43">
        <f>VLOOKUP(A13,'Return prepared data'!A:L,7,0)</f>
        <v>0.009128333632</v>
      </c>
      <c r="E13" s="25" t="s">
        <v>75</v>
      </c>
      <c r="F13" s="61">
        <f>F9/F10</f>
        <v>0.9930668651</v>
      </c>
    </row>
    <row r="14">
      <c r="A14" s="7">
        <v>46013.0</v>
      </c>
      <c r="B14" s="43">
        <f>VLOOKUP(A14,'Return prepared data'!A:L,6,0)</f>
        <v>0.01576994434</v>
      </c>
      <c r="C14" s="43">
        <f>VLOOKUP(A14,'Return prepared data'!A:L,7,0)</f>
        <v>-0.02291010843</v>
      </c>
      <c r="E14" s="25" t="s">
        <v>76</v>
      </c>
      <c r="F14" s="41">
        <f>_xlfn.F.INV.RT(0.05,52,52)</f>
        <v>1.584704897</v>
      </c>
    </row>
    <row r="15">
      <c r="A15" s="13">
        <v>46006.0</v>
      </c>
      <c r="B15" s="43">
        <f>VLOOKUP(A15,'Return prepared data'!A:L,6,0)</f>
        <v>0.009468317553</v>
      </c>
      <c r="C15" s="43">
        <f>VLOOKUP(A15,'Return prepared data'!A:L,7,0)</f>
        <v>-0.0180319423</v>
      </c>
      <c r="E15" s="25" t="s">
        <v>57</v>
      </c>
      <c r="F15" s="60">
        <f>_xlfn.F.DIST.RT(F13,F11,F12)</f>
        <v>0.5098612339</v>
      </c>
    </row>
    <row r="16">
      <c r="A16" s="7">
        <v>45999.0</v>
      </c>
      <c r="B16" s="43">
        <f>VLOOKUP(A16,'Return prepared data'!A:L,6,0)</f>
        <v>0.05314486084</v>
      </c>
      <c r="C16" s="43">
        <f>VLOOKUP(A16,'Return prepared data'!A:L,7,0)</f>
        <v>0.01375348189</v>
      </c>
      <c r="E16" s="25" t="s">
        <v>77</v>
      </c>
      <c r="F16" s="3" t="s">
        <v>78</v>
      </c>
      <c r="G16" s="3" t="s">
        <v>79</v>
      </c>
    </row>
    <row r="17">
      <c r="A17" s="13">
        <v>45992.0</v>
      </c>
      <c r="B17" s="43">
        <f>VLOOKUP(A17,'Return prepared data'!A:L,6,0)</f>
        <v>0.01727789544</v>
      </c>
      <c r="C17" s="43">
        <f>VLOOKUP(A17,'Return prepared data'!A:L,7,0)</f>
        <v>0.04161755372</v>
      </c>
      <c r="E17" s="25" t="s">
        <v>80</v>
      </c>
      <c r="F17" s="3" t="s">
        <v>81</v>
      </c>
      <c r="G17" s="3" t="s">
        <v>79</v>
      </c>
    </row>
    <row r="18">
      <c r="A18" s="7">
        <v>45985.0</v>
      </c>
      <c r="B18" s="43">
        <f>VLOOKUP(A18,'Return prepared data'!A:L,6,0)</f>
        <v>0.03424025824</v>
      </c>
      <c r="C18" s="43">
        <f>VLOOKUP(A18,'Return prepared data'!A:L,7,0)</f>
        <v>0.04928170488</v>
      </c>
    </row>
    <row r="19">
      <c r="A19" s="13">
        <v>45978.0</v>
      </c>
      <c r="B19" s="43">
        <f>VLOOKUP(A19,'Return prepared data'!A:L,6,0)</f>
        <v>-0.01308453749</v>
      </c>
      <c r="C19" s="43">
        <f>VLOOKUP(A19,'Return prepared data'!A:L,7,0)</f>
        <v>0.02776962941</v>
      </c>
      <c r="H19" s="3" t="s">
        <v>82</v>
      </c>
      <c r="I19" s="3" t="s">
        <v>83</v>
      </c>
    </row>
    <row r="20">
      <c r="A20" s="7">
        <v>45971.0</v>
      </c>
      <c r="B20" s="43">
        <f>VLOOKUP(A20,'Return prepared data'!A:L,6,0)</f>
        <v>-0.01468609865</v>
      </c>
      <c r="C20" s="43">
        <f>VLOOKUP(A20,'Return prepared data'!A:L,7,0)</f>
        <v>-0.001074428599</v>
      </c>
    </row>
    <row r="21">
      <c r="A21" s="13">
        <v>45964.0</v>
      </c>
      <c r="B21" s="43">
        <f>VLOOKUP(A21,'Return prepared data'!A:L,6,0)</f>
        <v>-0.0158870256</v>
      </c>
      <c r="C21" s="43">
        <f>VLOOKUP(A21,'Return prepared data'!A:L,7,0)</f>
        <v>0.01396454392</v>
      </c>
    </row>
    <row r="22">
      <c r="A22" s="7">
        <v>45957.0</v>
      </c>
      <c r="B22" s="43">
        <f>VLOOKUP(A22,'Return prepared data'!A:L,6,0)</f>
        <v>-0.01638632664</v>
      </c>
      <c r="C22" s="43">
        <f>VLOOKUP(A22,'Return prepared data'!A:L,7,0)</f>
        <v>-0.04700330345</v>
      </c>
    </row>
    <row r="23">
      <c r="A23" s="13">
        <v>45950.0</v>
      </c>
      <c r="B23" s="43">
        <f>VLOOKUP(A23,'Return prepared data'!A:L,6,0)</f>
        <v>0.03760837743</v>
      </c>
      <c r="C23" s="43">
        <f>VLOOKUP(A23,'Return prepared data'!A:L,7,0)</f>
        <v>-0.01451027811</v>
      </c>
    </row>
    <row r="24">
      <c r="A24" s="7">
        <v>45943.0</v>
      </c>
      <c r="B24" s="43">
        <f>VLOOKUP(A24,'Return prepared data'!A:L,6,0)</f>
        <v>0.06219351752</v>
      </c>
      <c r="C24" s="43">
        <f>VLOOKUP(A24,'Return prepared data'!A:L,7,0)</f>
        <v>0.05785693201</v>
      </c>
    </row>
    <row r="25">
      <c r="A25" s="13">
        <v>45936.0</v>
      </c>
      <c r="B25" s="43">
        <f>VLOOKUP(A25,'Return prepared data'!A:L,6,0)</f>
        <v>-0.03940716912</v>
      </c>
      <c r="C25" s="43">
        <f>VLOOKUP(A25,'Return prepared data'!A:L,7,0)</f>
        <v>-0.002258001178</v>
      </c>
    </row>
    <row r="26">
      <c r="A26" s="7">
        <v>45929.0</v>
      </c>
      <c r="B26" s="43">
        <f>VLOOKUP(A26,'Return prepared data'!A:L,6,0)</f>
        <v>0.01350721938</v>
      </c>
      <c r="C26" s="43">
        <f>VLOOKUP(A26,'Return prepared data'!A:L,7,0)</f>
        <v>-0.01058766391</v>
      </c>
    </row>
    <row r="27">
      <c r="A27" s="13">
        <v>45922.0</v>
      </c>
      <c r="B27" s="43">
        <f>VLOOKUP(A27,'Return prepared data'!A:L,6,0)</f>
        <v>-0.003249767874</v>
      </c>
      <c r="C27" s="43">
        <f>VLOOKUP(A27,'Return prepared data'!A:L,7,0)</f>
        <v>0.00812769291</v>
      </c>
    </row>
    <row r="28">
      <c r="A28" s="7">
        <v>45915.0</v>
      </c>
      <c r="B28" s="43">
        <f>VLOOKUP(A28,'Return prepared data'!A:L,6,0)</f>
        <v>-0.020352473</v>
      </c>
      <c r="C28" s="43">
        <f>VLOOKUP(A28,'Return prepared data'!A:L,7,0)</f>
        <v>-0.01123160341</v>
      </c>
    </row>
    <row r="29">
      <c r="A29" s="13">
        <v>45908.0</v>
      </c>
      <c r="B29" s="43">
        <f>VLOOKUP(A29,'Return prepared data'!A:L,6,0)</f>
        <v>-0.03436539306</v>
      </c>
      <c r="C29" s="43">
        <f>VLOOKUP(A29,'Return prepared data'!A:L,7,0)</f>
        <v>0.02960821453</v>
      </c>
    </row>
    <row r="30">
      <c r="A30" s="7">
        <v>45901.0</v>
      </c>
      <c r="B30" s="43">
        <f>VLOOKUP(A30,'Return prepared data'!A:L,6,0)</f>
        <v>-0.02930832356</v>
      </c>
      <c r="C30" s="43">
        <f>VLOOKUP(A30,'Return prepared data'!A:L,7,0)</f>
        <v>0.0364744782</v>
      </c>
    </row>
    <row r="31">
      <c r="A31" s="13">
        <v>45894.0</v>
      </c>
      <c r="B31" s="43">
        <f>VLOOKUP(A31,'Return prepared data'!A:L,6,0)</f>
        <v>-0.03287981859</v>
      </c>
      <c r="C31" s="43">
        <f>VLOOKUP(A31,'Return prepared data'!A:L,7,0)</f>
        <v>0.001552312946</v>
      </c>
    </row>
    <row r="32">
      <c r="A32" s="7">
        <v>45887.0</v>
      </c>
      <c r="B32" s="43">
        <f>VLOOKUP(A32,'Return prepared data'!A:L,6,0)</f>
        <v>-0.02619692864</v>
      </c>
      <c r="C32" s="43">
        <f>VLOOKUP(A32,'Return prepared data'!A:L,7,0)</f>
        <v>-0.02942948975</v>
      </c>
    </row>
    <row r="33">
      <c r="A33" s="13">
        <v>45880.0</v>
      </c>
      <c r="B33" s="43">
        <f>VLOOKUP(A33,'Return prepared data'!A:L,6,0)</f>
        <v>-0.02256450505</v>
      </c>
      <c r="C33" s="43">
        <f>VLOOKUP(A33,'Return prepared data'!A:L,7,0)</f>
        <v>-0.03601859024</v>
      </c>
    </row>
    <row r="34">
      <c r="A34" s="7">
        <v>45873.0</v>
      </c>
      <c r="B34" s="43">
        <f>VLOOKUP(A34,'Return prepared data'!A:L,6,0)</f>
        <v>0.05637889937</v>
      </c>
      <c r="C34" s="43">
        <f>VLOOKUP(A34,'Return prepared data'!A:L,7,0)</f>
        <v>0.05323271466</v>
      </c>
    </row>
    <row r="35">
      <c r="A35" s="13">
        <v>45866.0</v>
      </c>
      <c r="B35" s="43">
        <f>VLOOKUP(A35,'Return prepared data'!A:L,6,0)</f>
        <v>-0.05918486739</v>
      </c>
      <c r="C35" s="43">
        <f>VLOOKUP(A35,'Return prepared data'!A:L,7,0)</f>
        <v>0.0104070067</v>
      </c>
    </row>
    <row r="36">
      <c r="A36" s="7">
        <v>45859.0</v>
      </c>
      <c r="B36" s="43">
        <f>VLOOKUP(A36,'Return prepared data'!A:L,6,0)</f>
        <v>0.02498500899</v>
      </c>
      <c r="C36" s="43">
        <f>VLOOKUP(A36,'Return prepared data'!A:L,7,0)</f>
        <v>0.0254649197</v>
      </c>
    </row>
    <row r="37">
      <c r="A37" s="13">
        <v>45852.0</v>
      </c>
      <c r="B37" s="43">
        <f>VLOOKUP(A37,'Return prepared data'!A:L,6,0)</f>
        <v>-0.007439738121</v>
      </c>
      <c r="C37" s="43">
        <f>VLOOKUP(A37,'Return prepared data'!A:L,7,0)</f>
        <v>0.006915629322</v>
      </c>
    </row>
    <row r="38">
      <c r="A38" s="7">
        <v>45845.0</v>
      </c>
      <c r="B38" s="43">
        <f>VLOOKUP(A38,'Return prepared data'!A:L,6,0)</f>
        <v>0.001689189189</v>
      </c>
      <c r="C38" s="43">
        <f>VLOOKUP(A38,'Return prepared data'!A:L,7,0)</f>
        <v>-0.04023281936</v>
      </c>
    </row>
    <row r="39">
      <c r="A39" s="13">
        <v>45838.0</v>
      </c>
      <c r="B39" s="43">
        <f>VLOOKUP(A39,'Return prepared data'!A:L,6,0)</f>
        <v>0.04866103991</v>
      </c>
      <c r="C39" s="43">
        <f>VLOOKUP(A39,'Return prepared data'!A:L,7,0)</f>
        <v>0.01115126484</v>
      </c>
    </row>
    <row r="40">
      <c r="A40" s="7">
        <v>45831.0</v>
      </c>
      <c r="B40" s="43">
        <f>VLOOKUP(A40,'Return prepared data'!A:L,6,0)</f>
        <v>0.03863636364</v>
      </c>
      <c r="C40" s="43">
        <f>VLOOKUP(A40,'Return prepared data'!A:L,7,0)</f>
        <v>0.01201671891</v>
      </c>
    </row>
    <row r="41">
      <c r="A41" s="13">
        <v>45824.0</v>
      </c>
      <c r="B41" s="43">
        <f>VLOOKUP(A41,'Return prepared data'!A:L,6,0)</f>
        <v>0.001843218042</v>
      </c>
      <c r="C41" s="43">
        <f>VLOOKUP(A41,'Return prepared data'!A:L,7,0)</f>
        <v>0.01776028927</v>
      </c>
    </row>
    <row r="42">
      <c r="A42" s="7">
        <v>45817.0</v>
      </c>
      <c r="B42" s="43">
        <f>VLOOKUP(A42,'Return prepared data'!A:L,6,0)</f>
        <v>-0.02008074798</v>
      </c>
      <c r="C42" s="43">
        <f>VLOOKUP(A42,'Return prepared data'!A:L,7,0)</f>
        <v>-0.03111798042</v>
      </c>
    </row>
    <row r="43">
      <c r="A43" s="13">
        <v>45810.0</v>
      </c>
      <c r="B43" s="43">
        <f>VLOOKUP(A43,'Return prepared data'!A:L,6,0)</f>
        <v>0.03519577651</v>
      </c>
      <c r="C43" s="43">
        <f>VLOOKUP(A43,'Return prepared data'!A:L,7,0)</f>
        <v>-0.01261572897</v>
      </c>
    </row>
    <row r="44">
      <c r="A44" s="7">
        <v>45803.0</v>
      </c>
      <c r="B44" s="43">
        <f>VLOOKUP(A44,'Return prepared data'!A:L,6,0)</f>
        <v>-0.002960850971</v>
      </c>
      <c r="C44" s="43">
        <f>VLOOKUP(A44,'Return prepared data'!A:L,7,0)</f>
        <v>0.02470809008</v>
      </c>
    </row>
    <row r="45">
      <c r="A45" s="13">
        <v>45796.0</v>
      </c>
      <c r="B45" s="43">
        <f>VLOOKUP(A45,'Return prepared data'!A:L,6,0)</f>
        <v>-0.03256948865</v>
      </c>
      <c r="C45" s="43">
        <f>VLOOKUP(A45,'Return prepared data'!A:L,7,0)</f>
        <v>-0.01932317759</v>
      </c>
    </row>
    <row r="46">
      <c r="A46" s="7">
        <v>45789.0</v>
      </c>
      <c r="B46" s="43">
        <f>VLOOKUP(A46,'Return prepared data'!A:L,6,0)</f>
        <v>0.02256454762</v>
      </c>
      <c r="C46" s="43">
        <f>VLOOKUP(A46,'Return prepared data'!A:L,7,0)</f>
        <v>0.01811179348</v>
      </c>
    </row>
    <row r="47">
      <c r="A47" s="13">
        <v>45782.0</v>
      </c>
      <c r="B47" s="43">
        <f>VLOOKUP(A47,'Return prepared data'!A:L,6,0)</f>
        <v>-0.009881847476</v>
      </c>
      <c r="C47" s="43">
        <f>VLOOKUP(A47,'Return prepared data'!A:L,7,0)</f>
        <v>-0.02049347471</v>
      </c>
    </row>
    <row r="48">
      <c r="A48" s="20">
        <v>45775.0</v>
      </c>
      <c r="B48" s="43">
        <f>VLOOKUP(A48,'Return prepared data'!A:L,6,0)</f>
        <v>0.008121277748</v>
      </c>
      <c r="C48" s="43">
        <f>VLOOKUP(A48,'Return prepared data'!A:L,7,0)</f>
        <v>0.03843303335</v>
      </c>
    </row>
    <row r="49">
      <c r="A49" s="13">
        <v>45768.0</v>
      </c>
      <c r="B49" s="43">
        <f>VLOOKUP(A49,'Return prepared data'!A:L,6,0)</f>
        <v>0.03729080085</v>
      </c>
      <c r="C49" s="43">
        <f>VLOOKUP(A49,'Return prepared data'!A:L,7,0)</f>
        <v>0.02008856248</v>
      </c>
    </row>
    <row r="50">
      <c r="A50" s="7">
        <v>45761.0</v>
      </c>
      <c r="B50" s="43">
        <f>VLOOKUP(A50,'Return prepared data'!A:L,6,0)</f>
        <v>0.003494138864</v>
      </c>
      <c r="C50" s="43">
        <f>VLOOKUP(A50,'Return prepared data'!A:L,7,0)</f>
        <v>0.004556797223</v>
      </c>
    </row>
    <row r="51">
      <c r="A51" s="13">
        <v>45754.0</v>
      </c>
      <c r="B51" s="43">
        <f>VLOOKUP(A51,'Return prepared data'!A:L,6,0)</f>
        <v>-0.03070031684</v>
      </c>
      <c r="C51" s="43">
        <f>VLOOKUP(A51,'Return prepared data'!A:L,7,0)</f>
        <v>0.1154544354</v>
      </c>
    </row>
    <row r="52">
      <c r="A52" s="7">
        <v>45747.0</v>
      </c>
      <c r="B52" s="43">
        <f>VLOOKUP(A52,'Return prepared data'!A:L,6,0)</f>
        <v>-0.07648067803</v>
      </c>
      <c r="C52" s="43">
        <f>VLOOKUP(A52,'Return prepared data'!A:L,7,0)</f>
        <v>-0.02293957668</v>
      </c>
    </row>
    <row r="53">
      <c r="A53" s="13">
        <v>45740.0</v>
      </c>
      <c r="B53" s="43">
        <f>VLOOKUP(A53,'Return prepared data'!A:L,6,0)</f>
        <v>-0.00391959799</v>
      </c>
      <c r="C53" s="43">
        <f>VLOOKUP(A53,'Return prepared data'!A:L,7,0)</f>
        <v>-0.006928135275</v>
      </c>
    </row>
    <row r="54">
      <c r="A54" s="7">
        <v>45733.0</v>
      </c>
      <c r="B54" s="43">
        <f>VLOOKUP(A54,'Return prepared data'!A:L,6,0)</f>
        <v>-0.006093297373</v>
      </c>
      <c r="C54" s="43">
        <f>VLOOKUP(A54,'Return prepared data'!A:L,7,0)</f>
        <v>0.007333806482</v>
      </c>
    </row>
    <row r="55">
      <c r="A55" s="13">
        <v>45726.0</v>
      </c>
      <c r="B55" s="43" t="str">
        <f>VLOOKUP(A55,'Return prepared data'!A:L,6,0)</f>
        <v/>
      </c>
      <c r="C55" s="43"/>
    </row>
    <row r="56">
      <c r="A56" s="23"/>
      <c r="B56" s="43"/>
      <c r="C56" s="43"/>
    </row>
    <row r="57">
      <c r="A57" s="23"/>
      <c r="B57" s="43"/>
      <c r="C57" s="43"/>
    </row>
    <row r="58">
      <c r="A58" s="26"/>
      <c r="B58" s="43"/>
      <c r="C58" s="43"/>
    </row>
    <row r="59">
      <c r="A59" s="28"/>
      <c r="B59" s="43"/>
      <c r="C59" s="43"/>
    </row>
    <row r="60">
      <c r="A60" s="30"/>
      <c r="B60" s="43"/>
      <c r="C60" s="43"/>
    </row>
    <row r="61">
      <c r="A61" s="32"/>
      <c r="B61" s="43"/>
      <c r="C61" s="43"/>
    </row>
    <row r="62">
      <c r="A62" s="23"/>
      <c r="B62" s="43"/>
      <c r="C62" s="43"/>
    </row>
    <row r="63">
      <c r="A63" s="23"/>
      <c r="B63" s="43"/>
      <c r="C63" s="43"/>
    </row>
    <row r="64">
      <c r="A64" s="23"/>
      <c r="B64" s="43"/>
      <c r="C64" s="43"/>
    </row>
    <row r="65">
      <c r="A65" s="23"/>
      <c r="B65" s="43"/>
      <c r="C65" s="43"/>
    </row>
    <row r="66">
      <c r="A66" s="1"/>
      <c r="B66" s="43"/>
      <c r="C66" s="43"/>
    </row>
    <row r="67">
      <c r="A67" s="23"/>
      <c r="B67" s="43"/>
      <c r="C67" s="43"/>
    </row>
    <row r="68">
      <c r="A68" s="23"/>
      <c r="B68" s="43"/>
      <c r="C68" s="43"/>
    </row>
    <row r="69">
      <c r="A69" s="23"/>
      <c r="B69" s="43"/>
      <c r="C69" s="43"/>
    </row>
    <row r="70">
      <c r="A70" s="23"/>
      <c r="B70" s="43"/>
      <c r="C70" s="43"/>
    </row>
    <row r="71">
      <c r="A71" s="23"/>
      <c r="B71" s="43"/>
      <c r="C71" s="43"/>
    </row>
    <row r="72">
      <c r="A72" s="23"/>
      <c r="B72" s="43"/>
      <c r="C72" s="43"/>
    </row>
    <row r="73">
      <c r="A73" s="23"/>
      <c r="B73" s="43"/>
      <c r="C73" s="43"/>
    </row>
    <row r="74">
      <c r="A74" s="23"/>
      <c r="B74" s="43"/>
      <c r="C74" s="43"/>
    </row>
    <row r="75">
      <c r="A75" s="23"/>
      <c r="B75" s="43"/>
      <c r="C75" s="43"/>
    </row>
    <row r="76">
      <c r="A76" s="23"/>
      <c r="B76" s="43"/>
      <c r="C76" s="43"/>
    </row>
    <row r="77">
      <c r="A77" s="23"/>
      <c r="B77" s="43"/>
      <c r="C77" s="43"/>
    </row>
    <row r="78">
      <c r="A78" s="23"/>
      <c r="B78" s="43"/>
      <c r="C78" s="43"/>
    </row>
    <row r="79">
      <c r="A79" s="23"/>
      <c r="B79" s="43"/>
      <c r="C79" s="43"/>
    </row>
    <row r="80">
      <c r="A80" s="23"/>
      <c r="B80" s="43"/>
      <c r="C80" s="43"/>
    </row>
    <row r="81">
      <c r="A81" s="23"/>
      <c r="B81" s="43"/>
      <c r="C81" s="43"/>
    </row>
    <row r="82">
      <c r="A82" s="23"/>
      <c r="B82" s="43"/>
      <c r="C82" s="43"/>
    </row>
    <row r="83">
      <c r="A83" s="23"/>
      <c r="B83" s="43"/>
      <c r="C83" s="43"/>
    </row>
    <row r="84">
      <c r="A84" s="23"/>
      <c r="B84" s="43"/>
      <c r="C84" s="43"/>
    </row>
    <row r="85">
      <c r="A85" s="23"/>
      <c r="B85" s="43"/>
      <c r="C85" s="43"/>
    </row>
    <row r="86">
      <c r="A86" s="23"/>
      <c r="B86" s="43"/>
      <c r="C86" s="43"/>
    </row>
    <row r="87">
      <c r="A87" s="23"/>
      <c r="B87" s="43"/>
      <c r="C87" s="43"/>
    </row>
    <row r="88">
      <c r="A88" s="23"/>
      <c r="B88" s="43"/>
      <c r="C88" s="43"/>
    </row>
    <row r="89">
      <c r="A89" s="23"/>
      <c r="B89" s="43"/>
      <c r="C89" s="43"/>
    </row>
    <row r="90">
      <c r="A90" s="23"/>
      <c r="B90" s="43"/>
      <c r="C90" s="43"/>
    </row>
    <row r="91">
      <c r="A91" s="23"/>
      <c r="B91" s="43"/>
      <c r="C91" s="43"/>
    </row>
    <row r="92">
      <c r="A92" s="23"/>
      <c r="B92" s="43"/>
      <c r="C92" s="43"/>
    </row>
    <row r="93">
      <c r="A93" s="23"/>
      <c r="B93" s="43"/>
      <c r="C93" s="43"/>
    </row>
    <row r="94">
      <c r="A94" s="23"/>
      <c r="B94" s="43"/>
      <c r="C94" s="43"/>
    </row>
    <row r="95">
      <c r="A95" s="23"/>
      <c r="B95" s="43"/>
      <c r="C95" s="43"/>
    </row>
    <row r="96">
      <c r="A96" s="23"/>
      <c r="B96" s="43"/>
      <c r="C96" s="43"/>
    </row>
    <row r="97">
      <c r="A97" s="23"/>
      <c r="B97" s="43"/>
      <c r="C97" s="43"/>
    </row>
    <row r="98">
      <c r="A98" s="23"/>
      <c r="B98" s="43"/>
      <c r="C98" s="43"/>
    </row>
    <row r="99">
      <c r="A99" s="23"/>
      <c r="B99" s="43"/>
      <c r="C99" s="43"/>
    </row>
    <row r="100">
      <c r="A100" s="23"/>
      <c r="B100" s="43"/>
      <c r="C100" s="43"/>
    </row>
    <row r="101">
      <c r="A101" s="23"/>
      <c r="B101" s="43"/>
      <c r="C101" s="43"/>
    </row>
    <row r="102">
      <c r="A102" s="23"/>
      <c r="B102" s="43"/>
      <c r="C102" s="43"/>
    </row>
    <row r="103">
      <c r="A103" s="23"/>
      <c r="B103" s="43"/>
      <c r="C103" s="43"/>
    </row>
    <row r="104">
      <c r="A104" s="23"/>
      <c r="B104" s="43"/>
      <c r="C104" s="43"/>
    </row>
    <row r="105">
      <c r="A105" s="23"/>
      <c r="B105" s="43"/>
      <c r="C105" s="43"/>
    </row>
    <row r="106">
      <c r="A106" s="23"/>
      <c r="B106" s="43"/>
      <c r="C106" s="43"/>
    </row>
    <row r="107">
      <c r="A107" s="23"/>
      <c r="B107" s="43"/>
      <c r="C107" s="43"/>
    </row>
    <row r="108">
      <c r="A108" s="23"/>
      <c r="B108" s="43"/>
      <c r="C108" s="43"/>
    </row>
    <row r="109">
      <c r="A109" s="23"/>
      <c r="B109" s="43"/>
      <c r="C109" s="43"/>
    </row>
    <row r="110">
      <c r="A110" s="23"/>
      <c r="B110" s="43"/>
      <c r="C110" s="43"/>
    </row>
    <row r="111">
      <c r="A111" s="23"/>
      <c r="B111" s="43"/>
      <c r="C111" s="43"/>
    </row>
    <row r="112">
      <c r="A112" s="23"/>
      <c r="B112" s="43"/>
      <c r="C112" s="43"/>
    </row>
    <row r="113">
      <c r="A113" s="23"/>
      <c r="B113" s="43"/>
      <c r="C113" s="43"/>
    </row>
    <row r="114">
      <c r="A114" s="23"/>
      <c r="B114" s="43"/>
      <c r="C114" s="43"/>
    </row>
    <row r="115">
      <c r="A115" s="23"/>
      <c r="B115" s="43"/>
      <c r="C115" s="43"/>
    </row>
    <row r="116">
      <c r="A116" s="23"/>
      <c r="B116" s="43"/>
      <c r="C116" s="43"/>
    </row>
    <row r="117">
      <c r="A117" s="23"/>
      <c r="B117" s="43"/>
      <c r="C117" s="43"/>
    </row>
    <row r="118">
      <c r="A118" s="23"/>
      <c r="B118" s="43"/>
      <c r="C118" s="43"/>
    </row>
    <row r="119">
      <c r="A119" s="23"/>
      <c r="B119" s="43"/>
      <c r="C119" s="43"/>
    </row>
    <row r="120">
      <c r="A120" s="23"/>
      <c r="B120" s="43"/>
      <c r="C120" s="43"/>
    </row>
    <row r="121">
      <c r="A121" s="23"/>
      <c r="B121" s="43"/>
      <c r="C121" s="43"/>
    </row>
    <row r="122">
      <c r="A122" s="23"/>
      <c r="B122" s="43"/>
      <c r="C122" s="43"/>
    </row>
    <row r="123">
      <c r="A123" s="23"/>
      <c r="B123" s="43"/>
      <c r="C123" s="43"/>
    </row>
    <row r="124">
      <c r="A124" s="23"/>
      <c r="B124" s="43"/>
      <c r="C124" s="43"/>
    </row>
    <row r="125">
      <c r="A125" s="23"/>
      <c r="B125" s="43"/>
      <c r="C125" s="43"/>
    </row>
    <row r="126">
      <c r="A126" s="23"/>
      <c r="B126" s="43"/>
      <c r="C126" s="43"/>
    </row>
    <row r="127">
      <c r="A127" s="23"/>
      <c r="B127" s="43"/>
      <c r="C127" s="43"/>
    </row>
    <row r="128">
      <c r="A128" s="23"/>
      <c r="B128" s="43"/>
      <c r="C128" s="43"/>
    </row>
    <row r="129">
      <c r="A129" s="23"/>
      <c r="B129" s="43"/>
      <c r="C129" s="43"/>
    </row>
    <row r="130">
      <c r="A130" s="23"/>
      <c r="B130" s="43"/>
      <c r="C130" s="43"/>
    </row>
    <row r="131">
      <c r="A131" s="23"/>
      <c r="B131" s="43"/>
      <c r="C131" s="43"/>
    </row>
    <row r="132">
      <c r="A132" s="23"/>
      <c r="B132" s="43"/>
      <c r="C132" s="43"/>
    </row>
    <row r="133">
      <c r="A133" s="23"/>
      <c r="B133" s="43"/>
      <c r="C133" s="43"/>
    </row>
    <row r="134">
      <c r="A134" s="23"/>
      <c r="B134" s="43"/>
      <c r="C134" s="43"/>
    </row>
    <row r="135">
      <c r="A135" s="23"/>
      <c r="B135" s="43"/>
      <c r="C135" s="43"/>
    </row>
    <row r="136">
      <c r="A136" s="23"/>
      <c r="B136" s="43"/>
      <c r="C136" s="43"/>
    </row>
    <row r="137">
      <c r="A137" s="23"/>
      <c r="B137" s="43"/>
      <c r="C137" s="43"/>
    </row>
    <row r="138">
      <c r="A138" s="23"/>
      <c r="B138" s="43"/>
      <c r="C138" s="43"/>
    </row>
    <row r="139">
      <c r="A139" s="23"/>
      <c r="B139" s="43"/>
      <c r="C139" s="43"/>
    </row>
    <row r="140">
      <c r="A140" s="23"/>
      <c r="B140" s="43"/>
      <c r="C140" s="43"/>
    </row>
    <row r="141">
      <c r="A141" s="23"/>
      <c r="B141" s="43"/>
      <c r="C141" s="43"/>
    </row>
    <row r="142">
      <c r="A142" s="23"/>
      <c r="B142" s="43"/>
      <c r="C142" s="43"/>
    </row>
    <row r="143">
      <c r="A143" s="23"/>
      <c r="B143" s="43"/>
      <c r="C143" s="43"/>
    </row>
    <row r="144">
      <c r="A144" s="23"/>
      <c r="B144" s="43"/>
      <c r="C144" s="43"/>
    </row>
    <row r="145">
      <c r="A145" s="23"/>
      <c r="B145" s="43"/>
      <c r="C145" s="43"/>
    </row>
    <row r="146">
      <c r="A146" s="23"/>
      <c r="B146" s="43"/>
      <c r="C146" s="43"/>
    </row>
    <row r="147">
      <c r="A147" s="23"/>
      <c r="B147" s="43"/>
      <c r="C147" s="43"/>
    </row>
    <row r="148">
      <c r="A148" s="23"/>
      <c r="B148" s="43"/>
      <c r="C148" s="43"/>
    </row>
    <row r="149">
      <c r="A149" s="23"/>
      <c r="B149" s="43"/>
      <c r="C149" s="43"/>
    </row>
    <row r="150">
      <c r="A150" s="23"/>
      <c r="B150" s="43"/>
      <c r="C150" s="43"/>
    </row>
    <row r="151">
      <c r="A151" s="23"/>
      <c r="B151" s="43"/>
      <c r="C151" s="43"/>
    </row>
    <row r="152">
      <c r="A152" s="23"/>
      <c r="B152" s="43"/>
      <c r="C152" s="43"/>
    </row>
    <row r="153">
      <c r="A153" s="23"/>
      <c r="B153" s="43"/>
      <c r="C153" s="43"/>
    </row>
    <row r="154">
      <c r="A154" s="23"/>
      <c r="B154" s="43"/>
      <c r="C154" s="43"/>
    </row>
    <row r="155">
      <c r="A155" s="23"/>
      <c r="B155" s="43"/>
      <c r="C155" s="43"/>
    </row>
    <row r="156">
      <c r="A156" s="23"/>
      <c r="B156" s="43"/>
      <c r="C156" s="43"/>
    </row>
    <row r="157">
      <c r="A157" s="23"/>
      <c r="B157" s="43"/>
      <c r="C157" s="43"/>
    </row>
    <row r="158">
      <c r="A158" s="23"/>
      <c r="B158" s="43"/>
      <c r="C158" s="43"/>
    </row>
    <row r="159">
      <c r="A159" s="23"/>
      <c r="B159" s="43"/>
      <c r="C159" s="43"/>
    </row>
    <row r="160">
      <c r="A160" s="23"/>
      <c r="B160" s="43"/>
      <c r="C160" s="43"/>
    </row>
    <row r="161">
      <c r="A161" s="23"/>
      <c r="B161" s="43"/>
      <c r="C161" s="43"/>
    </row>
    <row r="162">
      <c r="A162" s="23"/>
      <c r="B162" s="43"/>
      <c r="C162" s="43"/>
    </row>
    <row r="163">
      <c r="A163" s="23"/>
      <c r="B163" s="43"/>
      <c r="C163" s="43"/>
    </row>
    <row r="164">
      <c r="A164" s="23"/>
      <c r="B164" s="43"/>
      <c r="C164" s="43"/>
    </row>
    <row r="165">
      <c r="A165" s="23"/>
      <c r="B165" s="43"/>
      <c r="C165" s="43"/>
    </row>
    <row r="166">
      <c r="A166" s="23"/>
      <c r="B166" s="43"/>
      <c r="C166" s="43"/>
    </row>
    <row r="167">
      <c r="A167" s="23"/>
      <c r="B167" s="43"/>
      <c r="C167" s="43"/>
    </row>
    <row r="168">
      <c r="A168" s="23"/>
      <c r="B168" s="43"/>
      <c r="C168" s="43"/>
    </row>
    <row r="169">
      <c r="A169" s="23"/>
      <c r="B169" s="43"/>
      <c r="C169" s="43"/>
    </row>
    <row r="170">
      <c r="A170" s="23"/>
      <c r="B170" s="43"/>
      <c r="C170" s="43"/>
    </row>
    <row r="171">
      <c r="A171" s="23"/>
      <c r="B171" s="43"/>
      <c r="C171" s="43"/>
    </row>
    <row r="172">
      <c r="A172" s="23"/>
      <c r="B172" s="43"/>
      <c r="C172" s="43"/>
    </row>
    <row r="173">
      <c r="A173" s="23"/>
      <c r="B173" s="43"/>
      <c r="C173" s="43"/>
    </row>
    <row r="174">
      <c r="A174" s="23"/>
      <c r="B174" s="43"/>
      <c r="C174" s="43"/>
    </row>
    <row r="175">
      <c r="A175" s="23"/>
      <c r="B175" s="43"/>
      <c r="C175" s="43"/>
    </row>
    <row r="176">
      <c r="A176" s="23"/>
      <c r="B176" s="43"/>
      <c r="C176" s="43"/>
    </row>
    <row r="177">
      <c r="A177" s="23"/>
      <c r="B177" s="43"/>
      <c r="C177" s="43"/>
    </row>
    <row r="178">
      <c r="A178" s="23"/>
      <c r="B178" s="43"/>
      <c r="C178" s="43"/>
    </row>
    <row r="179">
      <c r="A179" s="23"/>
      <c r="B179" s="43"/>
      <c r="C179" s="43"/>
    </row>
    <row r="180">
      <c r="A180" s="23"/>
      <c r="B180" s="43"/>
      <c r="C180" s="43"/>
    </row>
    <row r="181">
      <c r="A181" s="23"/>
      <c r="B181" s="43"/>
      <c r="C181" s="43"/>
    </row>
    <row r="182">
      <c r="A182" s="23"/>
      <c r="B182" s="43"/>
      <c r="C182" s="43"/>
    </row>
    <row r="183">
      <c r="A183" s="23"/>
      <c r="B183" s="43"/>
      <c r="C183" s="43"/>
    </row>
    <row r="184">
      <c r="A184" s="23"/>
      <c r="B184" s="43"/>
      <c r="C184" s="43"/>
    </row>
    <row r="185">
      <c r="A185" s="23"/>
      <c r="B185" s="43"/>
      <c r="C185" s="43"/>
    </row>
    <row r="186">
      <c r="A186" s="23"/>
      <c r="B186" s="43"/>
      <c r="C186" s="43"/>
    </row>
    <row r="187">
      <c r="A187" s="23"/>
      <c r="B187" s="43"/>
      <c r="C187" s="43"/>
    </row>
    <row r="188">
      <c r="A188" s="23"/>
      <c r="B188" s="43"/>
      <c r="C188" s="43"/>
    </row>
    <row r="189">
      <c r="A189" s="23"/>
      <c r="B189" s="43"/>
      <c r="C189" s="43"/>
    </row>
    <row r="190">
      <c r="A190" s="23"/>
      <c r="B190" s="43"/>
      <c r="C190" s="43"/>
    </row>
    <row r="191">
      <c r="A191" s="23"/>
      <c r="B191" s="43"/>
      <c r="C191" s="43"/>
    </row>
    <row r="192">
      <c r="A192" s="23"/>
      <c r="B192" s="43"/>
      <c r="C192" s="43"/>
    </row>
    <row r="193">
      <c r="A193" s="23"/>
      <c r="B193" s="43"/>
      <c r="C193" s="43"/>
    </row>
    <row r="194">
      <c r="A194" s="23"/>
      <c r="B194" s="43"/>
      <c r="C194" s="43"/>
    </row>
    <row r="195">
      <c r="A195" s="23"/>
      <c r="B195" s="43"/>
      <c r="C195" s="43"/>
    </row>
    <row r="196">
      <c r="A196" s="23"/>
      <c r="B196" s="43"/>
      <c r="C196" s="43"/>
    </row>
    <row r="197">
      <c r="A197" s="23"/>
      <c r="B197" s="43"/>
      <c r="C197" s="43"/>
    </row>
    <row r="198">
      <c r="A198" s="23"/>
      <c r="B198" s="43"/>
      <c r="C198" s="43"/>
    </row>
    <row r="199">
      <c r="A199" s="23"/>
      <c r="B199" s="43"/>
      <c r="C199" s="43"/>
    </row>
    <row r="200">
      <c r="A200" s="23"/>
      <c r="B200" s="43"/>
      <c r="C200" s="43"/>
    </row>
    <row r="201">
      <c r="A201" s="23"/>
      <c r="B201" s="43"/>
      <c r="C201" s="43"/>
    </row>
    <row r="202">
      <c r="A202" s="23"/>
      <c r="B202" s="43"/>
      <c r="C202" s="43"/>
    </row>
    <row r="203">
      <c r="A203" s="23"/>
      <c r="B203" s="43"/>
      <c r="C203" s="43"/>
    </row>
    <row r="204">
      <c r="A204" s="23"/>
      <c r="B204" s="43"/>
      <c r="C204" s="43"/>
    </row>
    <row r="205">
      <c r="A205" s="23"/>
      <c r="B205" s="43"/>
      <c r="C205" s="43"/>
    </row>
    <row r="206">
      <c r="A206" s="23"/>
      <c r="B206" s="43"/>
      <c r="C206" s="43"/>
    </row>
    <row r="207">
      <c r="A207" s="23"/>
      <c r="B207" s="43"/>
      <c r="C207" s="43"/>
    </row>
    <row r="208">
      <c r="A208" s="23"/>
      <c r="B208" s="43"/>
      <c r="C208" s="43"/>
    </row>
    <row r="209">
      <c r="A209" s="23"/>
      <c r="B209" s="43"/>
      <c r="C209" s="43"/>
    </row>
    <row r="210">
      <c r="A210" s="23"/>
      <c r="B210" s="43"/>
      <c r="C210" s="43"/>
    </row>
    <row r="211">
      <c r="A211" s="23"/>
      <c r="B211" s="43"/>
      <c r="C211" s="43"/>
    </row>
    <row r="212">
      <c r="A212" s="23"/>
      <c r="B212" s="43"/>
      <c r="C212" s="43"/>
    </row>
    <row r="213">
      <c r="A213" s="23"/>
      <c r="B213" s="43"/>
      <c r="C213" s="43"/>
    </row>
    <row r="214">
      <c r="A214" s="23"/>
      <c r="B214" s="43"/>
      <c r="C214" s="43"/>
    </row>
    <row r="215">
      <c r="A215" s="23"/>
      <c r="B215" s="43"/>
      <c r="C215" s="43"/>
    </row>
    <row r="216">
      <c r="A216" s="23"/>
      <c r="B216" s="43"/>
      <c r="C216" s="43"/>
    </row>
    <row r="217">
      <c r="A217" s="23"/>
      <c r="B217" s="43"/>
      <c r="C217" s="43"/>
    </row>
    <row r="218">
      <c r="A218" s="23"/>
      <c r="B218" s="43"/>
      <c r="C218" s="43"/>
    </row>
    <row r="219">
      <c r="A219" s="23"/>
      <c r="B219" s="43"/>
      <c r="C219" s="43"/>
    </row>
    <row r="220">
      <c r="A220" s="23"/>
      <c r="B220" s="43"/>
      <c r="C220" s="43"/>
    </row>
    <row r="221">
      <c r="A221" s="23"/>
      <c r="B221" s="43"/>
      <c r="C221" s="43"/>
    </row>
    <row r="222">
      <c r="A222" s="23"/>
      <c r="B222" s="43"/>
      <c r="C222" s="43"/>
    </row>
    <row r="223">
      <c r="A223" s="23"/>
      <c r="B223" s="43"/>
      <c r="C223" s="43"/>
    </row>
    <row r="224">
      <c r="A224" s="23"/>
      <c r="B224" s="43"/>
      <c r="C224" s="43"/>
    </row>
    <row r="225">
      <c r="A225" s="23"/>
      <c r="B225" s="43"/>
      <c r="C225" s="43"/>
    </row>
    <row r="226">
      <c r="A226" s="23"/>
      <c r="B226" s="43"/>
      <c r="C226" s="43"/>
    </row>
    <row r="227">
      <c r="A227" s="23"/>
      <c r="B227" s="43"/>
      <c r="C227" s="43"/>
    </row>
    <row r="228">
      <c r="A228" s="23"/>
      <c r="B228" s="43"/>
      <c r="C228" s="43"/>
    </row>
    <row r="229">
      <c r="A229" s="23"/>
      <c r="B229" s="43"/>
      <c r="C229" s="43"/>
    </row>
    <row r="230">
      <c r="A230" s="23"/>
      <c r="B230" s="43"/>
      <c r="C230" s="43"/>
    </row>
    <row r="231">
      <c r="A231" s="23"/>
      <c r="B231" s="43"/>
      <c r="C231" s="43"/>
    </row>
    <row r="232">
      <c r="A232" s="23"/>
      <c r="B232" s="43"/>
      <c r="C232" s="43"/>
    </row>
    <row r="233">
      <c r="A233" s="23"/>
      <c r="B233" s="43"/>
      <c r="C233" s="43"/>
    </row>
    <row r="234">
      <c r="A234" s="23"/>
      <c r="B234" s="43"/>
      <c r="C234" s="43"/>
    </row>
    <row r="235">
      <c r="A235" s="23"/>
      <c r="B235" s="43"/>
      <c r="C235" s="43"/>
    </row>
    <row r="236">
      <c r="A236" s="23"/>
      <c r="B236" s="43"/>
      <c r="C236" s="43"/>
    </row>
    <row r="237">
      <c r="A237" s="23"/>
      <c r="B237" s="43"/>
      <c r="C237" s="43"/>
    </row>
    <row r="238">
      <c r="A238" s="23"/>
      <c r="B238" s="43"/>
      <c r="C238" s="43"/>
    </row>
    <row r="239">
      <c r="A239" s="23"/>
      <c r="B239" s="43"/>
      <c r="C239" s="43"/>
    </row>
    <row r="240">
      <c r="A240" s="23"/>
      <c r="B240" s="43"/>
      <c r="C240" s="43"/>
    </row>
    <row r="241">
      <c r="A241" s="23"/>
      <c r="B241" s="43"/>
      <c r="C241" s="43"/>
    </row>
    <row r="242">
      <c r="A242" s="23"/>
      <c r="B242" s="43"/>
      <c r="C242" s="43"/>
    </row>
    <row r="243">
      <c r="A243" s="23"/>
      <c r="B243" s="43"/>
      <c r="C243" s="43"/>
    </row>
    <row r="244">
      <c r="A244" s="23"/>
      <c r="B244" s="43"/>
      <c r="C244" s="43"/>
    </row>
    <row r="245">
      <c r="A245" s="23"/>
      <c r="B245" s="43"/>
      <c r="C245" s="43"/>
    </row>
    <row r="246">
      <c r="A246" s="23"/>
      <c r="B246" s="43"/>
      <c r="C246" s="43"/>
    </row>
    <row r="247">
      <c r="A247" s="23"/>
      <c r="B247" s="43"/>
      <c r="C247" s="43"/>
    </row>
    <row r="248">
      <c r="A248" s="23"/>
      <c r="B248" s="43"/>
      <c r="C248" s="43"/>
    </row>
    <row r="249">
      <c r="A249" s="23"/>
      <c r="B249" s="43"/>
      <c r="C249" s="43"/>
    </row>
    <row r="250">
      <c r="A250" s="23"/>
      <c r="B250" s="43"/>
      <c r="C250" s="43"/>
    </row>
    <row r="251">
      <c r="A251" s="23"/>
      <c r="B251" s="43"/>
      <c r="C251" s="43"/>
    </row>
    <row r="252">
      <c r="A252" s="23"/>
      <c r="B252" s="43"/>
      <c r="C252" s="43"/>
    </row>
    <row r="253">
      <c r="A253" s="23"/>
      <c r="B253" s="43"/>
      <c r="C253" s="43"/>
    </row>
    <row r="254">
      <c r="A254" s="23"/>
      <c r="B254" s="43"/>
      <c r="C254" s="43"/>
    </row>
    <row r="255">
      <c r="A255" s="23"/>
      <c r="B255" s="43"/>
      <c r="C255" s="43"/>
    </row>
    <row r="256">
      <c r="A256" s="23"/>
      <c r="B256" s="43"/>
      <c r="C256" s="43"/>
    </row>
    <row r="257">
      <c r="A257" s="23"/>
      <c r="B257" s="43"/>
      <c r="C257" s="43"/>
    </row>
    <row r="258">
      <c r="A258" s="23"/>
      <c r="B258" s="43"/>
      <c r="C258" s="43"/>
    </row>
    <row r="259">
      <c r="A259" s="23"/>
      <c r="B259" s="43"/>
      <c r="C259" s="43"/>
    </row>
    <row r="260">
      <c r="A260" s="23"/>
      <c r="B260" s="43"/>
      <c r="C260" s="43"/>
    </row>
    <row r="261">
      <c r="A261" s="23"/>
      <c r="B261" s="43"/>
      <c r="C261" s="43"/>
    </row>
    <row r="262">
      <c r="A262" s="23"/>
      <c r="B262" s="43"/>
      <c r="C262" s="43"/>
    </row>
    <row r="263">
      <c r="A263" s="23"/>
      <c r="B263" s="43"/>
      <c r="C263" s="43"/>
    </row>
    <row r="264">
      <c r="A264" s="23"/>
      <c r="B264" s="43"/>
      <c r="C264" s="43"/>
    </row>
    <row r="265">
      <c r="A265" s="23"/>
      <c r="B265" s="43"/>
      <c r="C265" s="43"/>
    </row>
    <row r="266">
      <c r="A266" s="23"/>
      <c r="B266" s="43"/>
      <c r="C266" s="43"/>
    </row>
    <row r="267">
      <c r="A267" s="23"/>
      <c r="B267" s="43"/>
      <c r="C267" s="43"/>
    </row>
    <row r="268">
      <c r="A268" s="23"/>
      <c r="B268" s="43"/>
      <c r="C268" s="43"/>
    </row>
    <row r="269">
      <c r="A269" s="23"/>
      <c r="B269" s="43"/>
      <c r="C269" s="43"/>
    </row>
    <row r="270">
      <c r="A270" s="23"/>
      <c r="B270" s="43"/>
      <c r="C270" s="43"/>
    </row>
    <row r="271">
      <c r="A271" s="23"/>
      <c r="B271" s="43"/>
      <c r="C271" s="43"/>
    </row>
    <row r="272">
      <c r="A272" s="23"/>
      <c r="B272" s="43"/>
      <c r="C272" s="43"/>
    </row>
    <row r="273">
      <c r="A273" s="23"/>
      <c r="B273" s="43"/>
      <c r="C273" s="43"/>
    </row>
    <row r="274">
      <c r="A274" s="23"/>
      <c r="B274" s="43"/>
      <c r="C274" s="43"/>
    </row>
    <row r="275">
      <c r="A275" s="23"/>
      <c r="B275" s="43"/>
      <c r="C275" s="43"/>
    </row>
    <row r="276">
      <c r="A276" s="23"/>
      <c r="B276" s="43"/>
      <c r="C276" s="43"/>
    </row>
    <row r="277">
      <c r="A277" s="23"/>
      <c r="B277" s="43"/>
      <c r="C277" s="43"/>
    </row>
    <row r="278">
      <c r="A278" s="23"/>
      <c r="B278" s="43"/>
      <c r="C278" s="43"/>
    </row>
    <row r="279">
      <c r="A279" s="23"/>
      <c r="B279" s="43"/>
      <c r="C279" s="43"/>
    </row>
    <row r="280">
      <c r="A280" s="23"/>
      <c r="B280" s="43"/>
      <c r="C280" s="43"/>
    </row>
    <row r="281">
      <c r="A281" s="23"/>
      <c r="B281" s="43"/>
      <c r="C281" s="43"/>
    </row>
    <row r="282">
      <c r="A282" s="23"/>
      <c r="B282" s="43"/>
      <c r="C282" s="43"/>
    </row>
    <row r="283">
      <c r="A283" s="23"/>
      <c r="B283" s="43"/>
      <c r="C283" s="43"/>
    </row>
    <row r="284">
      <c r="A284" s="23"/>
      <c r="B284" s="43"/>
      <c r="C284" s="43"/>
    </row>
    <row r="285">
      <c r="A285" s="23"/>
      <c r="B285" s="43"/>
      <c r="C285" s="43"/>
    </row>
    <row r="286">
      <c r="A286" s="23"/>
      <c r="B286" s="43"/>
      <c r="C286" s="43"/>
    </row>
    <row r="287">
      <c r="A287" s="23"/>
      <c r="B287" s="43"/>
      <c r="C287" s="43"/>
    </row>
    <row r="288">
      <c r="A288" s="23"/>
      <c r="B288" s="43"/>
      <c r="C288" s="43"/>
    </row>
    <row r="289">
      <c r="A289" s="23"/>
      <c r="B289" s="43"/>
      <c r="C289" s="43"/>
    </row>
    <row r="290">
      <c r="A290" s="23"/>
      <c r="B290" s="43"/>
      <c r="C290" s="43"/>
    </row>
    <row r="291">
      <c r="A291" s="23"/>
      <c r="B291" s="43"/>
      <c r="C291" s="43"/>
    </row>
    <row r="292">
      <c r="A292" s="23"/>
      <c r="B292" s="43"/>
      <c r="C292" s="43"/>
    </row>
    <row r="293">
      <c r="A293" s="23"/>
      <c r="B293" s="43"/>
      <c r="C293" s="43"/>
    </row>
    <row r="294">
      <c r="A294" s="23"/>
      <c r="B294" s="43"/>
      <c r="C294" s="43"/>
    </row>
    <row r="295">
      <c r="A295" s="23"/>
      <c r="B295" s="43"/>
      <c r="C295" s="43"/>
    </row>
    <row r="296">
      <c r="A296" s="23"/>
      <c r="B296" s="43"/>
      <c r="C296" s="43"/>
    </row>
    <row r="297">
      <c r="A297" s="23"/>
      <c r="B297" s="43"/>
      <c r="C297" s="43"/>
    </row>
    <row r="298">
      <c r="A298" s="23"/>
      <c r="B298" s="43"/>
      <c r="C298" s="43"/>
    </row>
    <row r="299">
      <c r="A299" s="23"/>
      <c r="B299" s="43"/>
      <c r="C299" s="43"/>
    </row>
    <row r="300">
      <c r="A300" s="23"/>
      <c r="B300" s="43"/>
      <c r="C300" s="43"/>
    </row>
    <row r="301">
      <c r="A301" s="23"/>
      <c r="B301" s="43"/>
      <c r="C301" s="43"/>
    </row>
    <row r="302">
      <c r="A302" s="23"/>
      <c r="B302" s="43"/>
      <c r="C302" s="43"/>
    </row>
    <row r="303">
      <c r="A303" s="23"/>
      <c r="B303" s="43"/>
      <c r="C303" s="43"/>
    </row>
    <row r="304">
      <c r="A304" s="23"/>
      <c r="B304" s="43"/>
      <c r="C304" s="43"/>
    </row>
    <row r="305">
      <c r="A305" s="23"/>
      <c r="B305" s="43"/>
      <c r="C305" s="43"/>
    </row>
    <row r="306">
      <c r="A306" s="23"/>
      <c r="B306" s="43"/>
      <c r="C306" s="43"/>
    </row>
    <row r="307">
      <c r="A307" s="23"/>
      <c r="B307" s="43"/>
      <c r="C307" s="43"/>
    </row>
    <row r="308">
      <c r="A308" s="23"/>
      <c r="B308" s="43"/>
      <c r="C308" s="43"/>
    </row>
    <row r="309">
      <c r="A309" s="23"/>
      <c r="B309" s="43"/>
      <c r="C309" s="43"/>
    </row>
    <row r="310">
      <c r="A310" s="23"/>
      <c r="B310" s="43"/>
      <c r="C310" s="43"/>
    </row>
    <row r="311">
      <c r="A311" s="23"/>
      <c r="B311" s="43"/>
      <c r="C311" s="43"/>
    </row>
    <row r="312">
      <c r="A312" s="23"/>
      <c r="B312" s="43"/>
      <c r="C312" s="43"/>
    </row>
    <row r="313">
      <c r="A313" s="23"/>
      <c r="B313" s="43"/>
      <c r="C313" s="43"/>
    </row>
    <row r="314">
      <c r="A314" s="23"/>
      <c r="B314" s="43"/>
      <c r="C314" s="43"/>
    </row>
    <row r="315">
      <c r="A315" s="23"/>
      <c r="B315" s="43"/>
      <c r="C315" s="43"/>
    </row>
    <row r="316">
      <c r="A316" s="23"/>
      <c r="B316" s="43"/>
      <c r="C316" s="43"/>
    </row>
    <row r="317">
      <c r="A317" s="23"/>
      <c r="B317" s="43"/>
      <c r="C317" s="43"/>
    </row>
    <row r="318">
      <c r="A318" s="23"/>
      <c r="B318" s="43"/>
      <c r="C318" s="43"/>
    </row>
    <row r="319">
      <c r="A319" s="23"/>
      <c r="B319" s="43"/>
      <c r="C319" s="43"/>
    </row>
    <row r="320">
      <c r="A320" s="23"/>
      <c r="B320" s="43"/>
      <c r="C320" s="43"/>
    </row>
    <row r="321">
      <c r="A321" s="23"/>
      <c r="B321" s="43"/>
      <c r="C321" s="43"/>
    </row>
    <row r="322">
      <c r="A322" s="23"/>
      <c r="B322" s="43"/>
      <c r="C322" s="43"/>
    </row>
    <row r="323">
      <c r="A323" s="23"/>
      <c r="B323" s="43"/>
      <c r="C323" s="43"/>
    </row>
    <row r="324">
      <c r="A324" s="23"/>
      <c r="B324" s="43"/>
      <c r="C324" s="43"/>
    </row>
    <row r="325">
      <c r="A325" s="23"/>
      <c r="B325" s="43"/>
      <c r="C325" s="43"/>
    </row>
    <row r="326">
      <c r="A326" s="23"/>
      <c r="B326" s="43"/>
      <c r="C326" s="43"/>
    </row>
    <row r="327">
      <c r="A327" s="23"/>
      <c r="B327" s="43"/>
      <c r="C327" s="43"/>
    </row>
    <row r="328">
      <c r="A328" s="23"/>
      <c r="B328" s="43"/>
      <c r="C328" s="43"/>
    </row>
    <row r="329">
      <c r="A329" s="23"/>
      <c r="B329" s="43"/>
      <c r="C329" s="43"/>
    </row>
    <row r="330">
      <c r="A330" s="23"/>
      <c r="B330" s="43"/>
      <c r="C330" s="43"/>
    </row>
    <row r="331">
      <c r="A331" s="23"/>
      <c r="B331" s="43"/>
      <c r="C331" s="43"/>
    </row>
    <row r="332">
      <c r="A332" s="23"/>
      <c r="B332" s="43"/>
      <c r="C332" s="43"/>
    </row>
    <row r="333">
      <c r="A333" s="23"/>
      <c r="B333" s="43"/>
      <c r="C333" s="43"/>
    </row>
    <row r="334">
      <c r="A334" s="23"/>
      <c r="B334" s="43"/>
      <c r="C334" s="43"/>
    </row>
    <row r="335">
      <c r="A335" s="23"/>
      <c r="B335" s="43"/>
      <c r="C335" s="43"/>
    </row>
    <row r="336">
      <c r="A336" s="23"/>
      <c r="B336" s="43"/>
      <c r="C336" s="43"/>
    </row>
    <row r="337">
      <c r="A337" s="23"/>
      <c r="B337" s="43"/>
      <c r="C337" s="43"/>
    </row>
    <row r="338">
      <c r="A338" s="23"/>
      <c r="B338" s="43"/>
      <c r="C338" s="43"/>
    </row>
    <row r="339">
      <c r="A339" s="23"/>
      <c r="B339" s="43"/>
      <c r="C339" s="43"/>
    </row>
    <row r="340">
      <c r="A340" s="23"/>
      <c r="B340" s="43"/>
      <c r="C340" s="43"/>
    </row>
    <row r="341">
      <c r="A341" s="23"/>
      <c r="B341" s="43"/>
      <c r="C341" s="43"/>
    </row>
    <row r="342">
      <c r="A342" s="23"/>
      <c r="B342" s="43"/>
      <c r="C342" s="43"/>
    </row>
    <row r="343">
      <c r="A343" s="23"/>
      <c r="B343" s="43"/>
      <c r="C343" s="43"/>
    </row>
    <row r="344">
      <c r="A344" s="23"/>
      <c r="B344" s="43"/>
      <c r="C344" s="43"/>
    </row>
    <row r="345">
      <c r="A345" s="23"/>
      <c r="B345" s="43"/>
      <c r="C345" s="43"/>
    </row>
    <row r="346">
      <c r="A346" s="23"/>
      <c r="B346" s="43"/>
      <c r="C346" s="43"/>
    </row>
    <row r="347">
      <c r="A347" s="23"/>
      <c r="B347" s="43"/>
      <c r="C347" s="43"/>
    </row>
    <row r="348">
      <c r="A348" s="23"/>
      <c r="B348" s="43"/>
      <c r="C348" s="43"/>
    </row>
    <row r="349">
      <c r="A349" s="23"/>
      <c r="B349" s="43"/>
      <c r="C349" s="43"/>
    </row>
    <row r="350">
      <c r="A350" s="23"/>
      <c r="B350" s="43"/>
      <c r="C350" s="43"/>
    </row>
    <row r="351">
      <c r="A351" s="23"/>
      <c r="B351" s="43"/>
      <c r="C351" s="43"/>
    </row>
    <row r="352">
      <c r="A352" s="23"/>
      <c r="B352" s="43"/>
      <c r="C352" s="43"/>
    </row>
    <row r="353">
      <c r="A353" s="23"/>
      <c r="B353" s="43"/>
      <c r="C353" s="43"/>
    </row>
    <row r="354">
      <c r="A354" s="23"/>
      <c r="B354" s="43"/>
      <c r="C354" s="43"/>
    </row>
    <row r="355">
      <c r="A355" s="23"/>
      <c r="B355" s="43"/>
      <c r="C355" s="43"/>
    </row>
    <row r="356">
      <c r="A356" s="23"/>
      <c r="B356" s="43"/>
      <c r="C356" s="43"/>
    </row>
    <row r="357">
      <c r="A357" s="23"/>
      <c r="B357" s="43"/>
      <c r="C357" s="43"/>
    </row>
    <row r="358">
      <c r="A358" s="23"/>
      <c r="B358" s="43"/>
      <c r="C358" s="43"/>
    </row>
    <row r="359">
      <c r="A359" s="23"/>
      <c r="B359" s="43"/>
      <c r="C359" s="43"/>
    </row>
    <row r="360">
      <c r="A360" s="23"/>
      <c r="B360" s="43"/>
      <c r="C360" s="43"/>
    </row>
    <row r="361">
      <c r="A361" s="23"/>
      <c r="B361" s="43"/>
      <c r="C361" s="43"/>
    </row>
    <row r="362">
      <c r="A362" s="23"/>
      <c r="B362" s="43"/>
      <c r="C362" s="43"/>
    </row>
    <row r="363">
      <c r="A363" s="23"/>
      <c r="B363" s="43"/>
      <c r="C363" s="43"/>
    </row>
    <row r="364">
      <c r="A364" s="23"/>
      <c r="B364" s="43"/>
      <c r="C364" s="43"/>
    </row>
    <row r="365">
      <c r="A365" s="23"/>
      <c r="B365" s="43"/>
      <c r="C365" s="43"/>
    </row>
    <row r="366">
      <c r="A366" s="23"/>
      <c r="B366" s="43"/>
      <c r="C366" s="43"/>
    </row>
    <row r="367">
      <c r="A367" s="23"/>
      <c r="B367" s="43"/>
      <c r="C367" s="43"/>
    </row>
    <row r="368">
      <c r="A368" s="23"/>
      <c r="B368" s="43"/>
      <c r="C368" s="43"/>
    </row>
    <row r="369">
      <c r="A369" s="23"/>
      <c r="B369" s="43"/>
      <c r="C369" s="43"/>
    </row>
    <row r="370">
      <c r="A370" s="23"/>
      <c r="B370" s="43"/>
      <c r="C370" s="43"/>
    </row>
    <row r="371">
      <c r="A371" s="23"/>
      <c r="B371" s="43"/>
      <c r="C371" s="43"/>
    </row>
    <row r="372">
      <c r="A372" s="23"/>
      <c r="B372" s="43"/>
      <c r="C372" s="43"/>
    </row>
    <row r="373">
      <c r="A373" s="23"/>
      <c r="B373" s="43"/>
      <c r="C373" s="43"/>
    </row>
    <row r="374">
      <c r="A374" s="23"/>
      <c r="B374" s="43"/>
      <c r="C374" s="43"/>
    </row>
    <row r="375">
      <c r="A375" s="23"/>
      <c r="B375" s="43"/>
      <c r="C375" s="43"/>
    </row>
    <row r="376">
      <c r="A376" s="23"/>
      <c r="B376" s="43"/>
      <c r="C376" s="43"/>
    </row>
    <row r="377">
      <c r="A377" s="23"/>
      <c r="B377" s="43"/>
      <c r="C377" s="43"/>
    </row>
    <row r="378">
      <c r="A378" s="23"/>
      <c r="B378" s="43"/>
      <c r="C378" s="43"/>
    </row>
    <row r="379">
      <c r="A379" s="23"/>
      <c r="B379" s="43"/>
      <c r="C379" s="43"/>
    </row>
    <row r="380">
      <c r="A380" s="23"/>
      <c r="B380" s="43"/>
      <c r="C380" s="43"/>
    </row>
    <row r="381">
      <c r="A381" s="23"/>
      <c r="B381" s="43"/>
      <c r="C381" s="43"/>
    </row>
    <row r="382">
      <c r="A382" s="23"/>
      <c r="B382" s="43"/>
      <c r="C382" s="43"/>
    </row>
    <row r="383">
      <c r="A383" s="23"/>
      <c r="B383" s="43"/>
      <c r="C383" s="43"/>
    </row>
    <row r="384">
      <c r="A384" s="23"/>
      <c r="B384" s="43"/>
      <c r="C384" s="43"/>
    </row>
    <row r="385">
      <c r="A385" s="23"/>
      <c r="B385" s="43"/>
      <c r="C385" s="43"/>
    </row>
    <row r="386">
      <c r="A386" s="23"/>
      <c r="B386" s="43"/>
      <c r="C386" s="43"/>
    </row>
    <row r="387">
      <c r="A387" s="23"/>
      <c r="B387" s="43"/>
      <c r="C387" s="43"/>
    </row>
    <row r="388">
      <c r="A388" s="23"/>
      <c r="B388" s="43"/>
      <c r="C388" s="43"/>
    </row>
    <row r="389">
      <c r="A389" s="23"/>
      <c r="B389" s="43"/>
      <c r="C389" s="43"/>
    </row>
    <row r="390">
      <c r="A390" s="23"/>
      <c r="B390" s="43"/>
      <c r="C390" s="43"/>
    </row>
    <row r="391">
      <c r="A391" s="23"/>
      <c r="B391" s="43"/>
      <c r="C391" s="43"/>
    </row>
    <row r="392">
      <c r="A392" s="23"/>
      <c r="B392" s="43"/>
      <c r="C392" s="43"/>
    </row>
    <row r="393">
      <c r="A393" s="23"/>
      <c r="B393" s="43"/>
      <c r="C393" s="43"/>
    </row>
    <row r="394">
      <c r="A394" s="23"/>
      <c r="B394" s="43"/>
      <c r="C394" s="43"/>
    </row>
    <row r="395">
      <c r="A395" s="23"/>
      <c r="B395" s="43"/>
      <c r="C395" s="43"/>
    </row>
    <row r="396">
      <c r="A396" s="23"/>
      <c r="B396" s="43"/>
      <c r="C396" s="43"/>
    </row>
    <row r="397">
      <c r="A397" s="23"/>
      <c r="B397" s="43"/>
      <c r="C397" s="43"/>
    </row>
    <row r="398">
      <c r="A398" s="23"/>
      <c r="B398" s="43"/>
      <c r="C398" s="43"/>
    </row>
    <row r="399">
      <c r="A399" s="23"/>
      <c r="B399" s="43"/>
      <c r="C399" s="43"/>
    </row>
    <row r="400">
      <c r="A400" s="23"/>
      <c r="B400" s="43"/>
      <c r="C400" s="43"/>
    </row>
    <row r="401">
      <c r="A401" s="23"/>
      <c r="B401" s="43"/>
      <c r="C401" s="43"/>
    </row>
    <row r="402">
      <c r="A402" s="23"/>
      <c r="B402" s="43"/>
      <c r="C402" s="43"/>
    </row>
    <row r="403">
      <c r="A403" s="23"/>
      <c r="B403" s="43"/>
      <c r="C403" s="43"/>
    </row>
    <row r="404">
      <c r="A404" s="23"/>
      <c r="B404" s="43"/>
      <c r="C404" s="43"/>
    </row>
    <row r="405">
      <c r="A405" s="23"/>
      <c r="B405" s="43"/>
      <c r="C405" s="43"/>
    </row>
    <row r="406">
      <c r="A406" s="23"/>
      <c r="B406" s="43"/>
      <c r="C406" s="43"/>
    </row>
    <row r="407">
      <c r="A407" s="23"/>
      <c r="B407" s="43"/>
      <c r="C407" s="43"/>
    </row>
    <row r="408">
      <c r="A408" s="23"/>
      <c r="B408" s="43"/>
      <c r="C408" s="43"/>
    </row>
    <row r="409">
      <c r="A409" s="23"/>
      <c r="B409" s="43"/>
      <c r="C409" s="43"/>
    </row>
    <row r="410">
      <c r="A410" s="23"/>
      <c r="B410" s="43"/>
      <c r="C410" s="43"/>
    </row>
    <row r="411">
      <c r="A411" s="23"/>
      <c r="B411" s="43"/>
      <c r="C411" s="43"/>
    </row>
    <row r="412">
      <c r="A412" s="23"/>
      <c r="B412" s="43"/>
      <c r="C412" s="43"/>
    </row>
    <row r="413">
      <c r="A413" s="23"/>
      <c r="B413" s="43"/>
      <c r="C413" s="43"/>
    </row>
    <row r="414">
      <c r="A414" s="23"/>
      <c r="B414" s="43"/>
      <c r="C414" s="43"/>
    </row>
    <row r="415">
      <c r="A415" s="23"/>
      <c r="B415" s="43"/>
      <c r="C415" s="43"/>
    </row>
    <row r="416">
      <c r="A416" s="23"/>
      <c r="B416" s="43"/>
      <c r="C416" s="43"/>
    </row>
    <row r="417">
      <c r="A417" s="23"/>
      <c r="B417" s="43"/>
      <c r="C417" s="43"/>
    </row>
    <row r="418">
      <c r="A418" s="23"/>
      <c r="B418" s="43"/>
      <c r="C418" s="43"/>
    </row>
    <row r="419">
      <c r="A419" s="23"/>
      <c r="B419" s="43"/>
      <c r="C419" s="43"/>
    </row>
    <row r="420">
      <c r="A420" s="23"/>
      <c r="B420" s="43"/>
      <c r="C420" s="43"/>
    </row>
    <row r="421">
      <c r="A421" s="23"/>
      <c r="B421" s="43"/>
      <c r="C421" s="43"/>
    </row>
    <row r="422">
      <c r="A422" s="23"/>
      <c r="B422" s="43"/>
      <c r="C422" s="43"/>
    </row>
    <row r="423">
      <c r="A423" s="23"/>
      <c r="B423" s="43"/>
      <c r="C423" s="43"/>
    </row>
    <row r="424">
      <c r="A424" s="23"/>
      <c r="B424" s="43"/>
      <c r="C424" s="43"/>
    </row>
    <row r="425">
      <c r="A425" s="23"/>
      <c r="B425" s="43"/>
      <c r="C425" s="43"/>
    </row>
    <row r="426">
      <c r="A426" s="23"/>
      <c r="B426" s="43"/>
      <c r="C426" s="43"/>
    </row>
    <row r="427">
      <c r="A427" s="23"/>
      <c r="B427" s="43"/>
      <c r="C427" s="43"/>
    </row>
    <row r="428">
      <c r="A428" s="23"/>
      <c r="B428" s="43"/>
      <c r="C428" s="43"/>
    </row>
    <row r="429">
      <c r="A429" s="23"/>
      <c r="B429" s="43"/>
      <c r="C429" s="43"/>
    </row>
    <row r="430">
      <c r="A430" s="23"/>
      <c r="B430" s="43"/>
      <c r="C430" s="43"/>
    </row>
    <row r="431">
      <c r="A431" s="23"/>
      <c r="B431" s="43"/>
      <c r="C431" s="43"/>
    </row>
    <row r="432">
      <c r="A432" s="23"/>
      <c r="B432" s="43"/>
      <c r="C432" s="43"/>
    </row>
    <row r="433">
      <c r="A433" s="23"/>
      <c r="B433" s="43"/>
      <c r="C433" s="43"/>
    </row>
    <row r="434">
      <c r="A434" s="23"/>
      <c r="B434" s="43"/>
      <c r="C434" s="43"/>
    </row>
    <row r="435">
      <c r="A435" s="23"/>
      <c r="B435" s="43"/>
      <c r="C435" s="43"/>
    </row>
    <row r="436">
      <c r="A436" s="23"/>
      <c r="B436" s="43"/>
      <c r="C436" s="43"/>
    </row>
    <row r="437">
      <c r="A437" s="23"/>
      <c r="B437" s="43"/>
      <c r="C437" s="43"/>
    </row>
    <row r="438">
      <c r="A438" s="23"/>
      <c r="B438" s="43"/>
      <c r="C438" s="43"/>
    </row>
    <row r="439">
      <c r="A439" s="23"/>
      <c r="B439" s="43"/>
      <c r="C439" s="43"/>
    </row>
    <row r="440">
      <c r="A440" s="23"/>
      <c r="B440" s="43"/>
      <c r="C440" s="43"/>
    </row>
    <row r="441">
      <c r="A441" s="23"/>
      <c r="B441" s="43"/>
      <c r="C441" s="43"/>
    </row>
    <row r="442">
      <c r="A442" s="23"/>
      <c r="B442" s="43"/>
      <c r="C442" s="43"/>
    </row>
    <row r="443">
      <c r="A443" s="23"/>
      <c r="B443" s="43"/>
      <c r="C443" s="43"/>
    </row>
    <row r="444">
      <c r="A444" s="23"/>
      <c r="B444" s="43"/>
      <c r="C444" s="43"/>
    </row>
    <row r="445">
      <c r="A445" s="23"/>
      <c r="B445" s="43"/>
      <c r="C445" s="43"/>
    </row>
    <row r="446">
      <c r="A446" s="23"/>
      <c r="B446" s="43"/>
      <c r="C446" s="43"/>
    </row>
    <row r="447">
      <c r="A447" s="23"/>
      <c r="B447" s="43"/>
      <c r="C447" s="43"/>
    </row>
    <row r="448">
      <c r="A448" s="23"/>
      <c r="B448" s="43"/>
      <c r="C448" s="43"/>
    </row>
    <row r="449">
      <c r="A449" s="23"/>
      <c r="B449" s="43"/>
      <c r="C449" s="43"/>
    </row>
    <row r="450">
      <c r="A450" s="23"/>
      <c r="B450" s="43"/>
      <c r="C450" s="43"/>
    </row>
    <row r="451">
      <c r="A451" s="23"/>
      <c r="B451" s="43"/>
      <c r="C451" s="43"/>
    </row>
    <row r="452">
      <c r="A452" s="23"/>
      <c r="B452" s="43"/>
      <c r="C452" s="43"/>
    </row>
    <row r="453">
      <c r="A453" s="23"/>
      <c r="B453" s="43"/>
      <c r="C453" s="43"/>
    </row>
    <row r="454">
      <c r="A454" s="23"/>
      <c r="B454" s="43"/>
      <c r="C454" s="43"/>
    </row>
    <row r="455">
      <c r="A455" s="23"/>
      <c r="B455" s="43"/>
      <c r="C455" s="43"/>
    </row>
    <row r="456">
      <c r="A456" s="23"/>
      <c r="B456" s="43"/>
      <c r="C456" s="43"/>
    </row>
    <row r="457">
      <c r="A457" s="23"/>
      <c r="B457" s="43"/>
      <c r="C457" s="43"/>
    </row>
    <row r="458">
      <c r="A458" s="23"/>
      <c r="B458" s="43"/>
      <c r="C458" s="43"/>
    </row>
    <row r="459">
      <c r="A459" s="23"/>
      <c r="B459" s="43"/>
      <c r="C459" s="43"/>
    </row>
    <row r="460">
      <c r="A460" s="23"/>
      <c r="B460" s="43"/>
      <c r="C460" s="43"/>
    </row>
    <row r="461">
      <c r="A461" s="23"/>
      <c r="B461" s="43"/>
      <c r="C461" s="43"/>
    </row>
    <row r="462">
      <c r="A462" s="23"/>
      <c r="B462" s="43"/>
      <c r="C462" s="43"/>
    </row>
    <row r="463">
      <c r="A463" s="23"/>
      <c r="B463" s="43"/>
      <c r="C463" s="43"/>
    </row>
    <row r="464">
      <c r="A464" s="23"/>
      <c r="B464" s="43"/>
      <c r="C464" s="43"/>
    </row>
    <row r="465">
      <c r="A465" s="23"/>
      <c r="B465" s="43"/>
      <c r="C465" s="43"/>
    </row>
    <row r="466">
      <c r="A466" s="23"/>
      <c r="B466" s="43"/>
      <c r="C466" s="43"/>
    </row>
    <row r="467">
      <c r="A467" s="23"/>
      <c r="B467" s="43"/>
      <c r="C467" s="43"/>
    </row>
    <row r="468">
      <c r="A468" s="23"/>
      <c r="B468" s="43"/>
      <c r="C468" s="43"/>
    </row>
    <row r="469">
      <c r="A469" s="23"/>
      <c r="B469" s="43"/>
      <c r="C469" s="43"/>
    </row>
    <row r="470">
      <c r="A470" s="23"/>
      <c r="B470" s="43"/>
      <c r="C470" s="43"/>
    </row>
    <row r="471">
      <c r="A471" s="23"/>
      <c r="B471" s="43"/>
      <c r="C471" s="43"/>
    </row>
    <row r="472">
      <c r="A472" s="23"/>
      <c r="B472" s="43"/>
      <c r="C472" s="43"/>
    </row>
    <row r="473">
      <c r="A473" s="23"/>
      <c r="B473" s="43"/>
      <c r="C473" s="43"/>
    </row>
    <row r="474">
      <c r="A474" s="23"/>
      <c r="B474" s="43"/>
      <c r="C474" s="43"/>
    </row>
    <row r="475">
      <c r="A475" s="23"/>
      <c r="B475" s="43"/>
      <c r="C475" s="43"/>
    </row>
    <row r="476">
      <c r="A476" s="23"/>
      <c r="B476" s="43"/>
      <c r="C476" s="43"/>
    </row>
    <row r="477">
      <c r="A477" s="23"/>
      <c r="B477" s="43"/>
      <c r="C477" s="43"/>
    </row>
    <row r="478">
      <c r="A478" s="23"/>
      <c r="B478" s="43"/>
      <c r="C478" s="43"/>
    </row>
    <row r="479">
      <c r="A479" s="23"/>
      <c r="B479" s="43"/>
      <c r="C479" s="43"/>
    </row>
    <row r="480">
      <c r="A480" s="23"/>
      <c r="B480" s="43"/>
      <c r="C480" s="43"/>
    </row>
    <row r="481">
      <c r="A481" s="23"/>
      <c r="B481" s="43"/>
      <c r="C481" s="43"/>
    </row>
    <row r="482">
      <c r="A482" s="23"/>
      <c r="B482" s="43"/>
      <c r="C482" s="43"/>
    </row>
    <row r="483">
      <c r="A483" s="23"/>
      <c r="B483" s="43"/>
      <c r="C483" s="43"/>
    </row>
    <row r="484">
      <c r="A484" s="23"/>
      <c r="B484" s="43"/>
      <c r="C484" s="43"/>
    </row>
    <row r="485">
      <c r="A485" s="23"/>
      <c r="B485" s="43"/>
      <c r="C485" s="43"/>
    </row>
    <row r="486">
      <c r="A486" s="23"/>
      <c r="B486" s="43"/>
      <c r="C486" s="43"/>
    </row>
    <row r="487">
      <c r="A487" s="23"/>
      <c r="B487" s="43"/>
      <c r="C487" s="43"/>
    </row>
    <row r="488">
      <c r="A488" s="23"/>
      <c r="B488" s="43"/>
      <c r="C488" s="43"/>
    </row>
    <row r="489">
      <c r="A489" s="23"/>
      <c r="B489" s="43"/>
      <c r="C489" s="43"/>
    </row>
    <row r="490">
      <c r="A490" s="23"/>
      <c r="B490" s="43"/>
      <c r="C490" s="43"/>
    </row>
    <row r="491">
      <c r="A491" s="23"/>
      <c r="B491" s="43"/>
      <c r="C491" s="43"/>
    </row>
    <row r="492">
      <c r="A492" s="23"/>
      <c r="B492" s="43"/>
      <c r="C492" s="43"/>
    </row>
    <row r="493">
      <c r="A493" s="23"/>
      <c r="B493" s="43"/>
      <c r="C493" s="43"/>
    </row>
    <row r="494">
      <c r="A494" s="23"/>
      <c r="B494" s="43"/>
      <c r="C494" s="43"/>
    </row>
    <row r="495">
      <c r="A495" s="23"/>
      <c r="B495" s="43"/>
      <c r="C495" s="43"/>
    </row>
    <row r="496">
      <c r="A496" s="23"/>
      <c r="B496" s="43"/>
      <c r="C496" s="43"/>
    </row>
    <row r="497">
      <c r="A497" s="23"/>
      <c r="B497" s="43"/>
      <c r="C497" s="43"/>
    </row>
    <row r="498">
      <c r="A498" s="23"/>
      <c r="B498" s="43"/>
      <c r="C498" s="43"/>
    </row>
    <row r="499">
      <c r="A499" s="23"/>
      <c r="B499" s="43"/>
      <c r="C499" s="43"/>
    </row>
    <row r="500">
      <c r="A500" s="23"/>
      <c r="B500" s="43"/>
      <c r="C500" s="43"/>
    </row>
    <row r="501">
      <c r="A501" s="23"/>
      <c r="B501" s="43"/>
      <c r="C501" s="43"/>
    </row>
    <row r="502">
      <c r="A502" s="23"/>
      <c r="B502" s="43"/>
      <c r="C502" s="43"/>
    </row>
    <row r="503">
      <c r="A503" s="23"/>
      <c r="B503" s="43"/>
      <c r="C503" s="43"/>
    </row>
    <row r="504">
      <c r="A504" s="23"/>
      <c r="B504" s="43"/>
      <c r="C504" s="43"/>
    </row>
    <row r="505">
      <c r="A505" s="23"/>
      <c r="B505" s="43"/>
      <c r="C505" s="43"/>
    </row>
    <row r="506">
      <c r="A506" s="23"/>
      <c r="B506" s="43"/>
      <c r="C506" s="43"/>
    </row>
    <row r="507">
      <c r="A507" s="23"/>
      <c r="B507" s="43"/>
      <c r="C507" s="43"/>
    </row>
    <row r="508">
      <c r="A508" s="23"/>
      <c r="B508" s="43"/>
      <c r="C508" s="43"/>
    </row>
    <row r="509">
      <c r="A509" s="23"/>
      <c r="B509" s="43"/>
      <c r="C509" s="43"/>
    </row>
    <row r="510">
      <c r="A510" s="23"/>
      <c r="B510" s="43"/>
      <c r="C510" s="43"/>
    </row>
    <row r="511">
      <c r="A511" s="23"/>
      <c r="B511" s="43"/>
      <c r="C511" s="43"/>
    </row>
    <row r="512">
      <c r="A512" s="23"/>
      <c r="B512" s="43"/>
      <c r="C512" s="43"/>
    </row>
    <row r="513">
      <c r="A513" s="23"/>
      <c r="B513" s="43"/>
      <c r="C513" s="43"/>
    </row>
    <row r="514">
      <c r="A514" s="23"/>
      <c r="B514" s="43"/>
      <c r="C514" s="43"/>
    </row>
    <row r="515">
      <c r="A515" s="23"/>
      <c r="B515" s="43"/>
      <c r="C515" s="43"/>
    </row>
    <row r="516">
      <c r="A516" s="23"/>
      <c r="B516" s="43"/>
      <c r="C516" s="43"/>
    </row>
    <row r="517">
      <c r="A517" s="23"/>
      <c r="B517" s="43"/>
      <c r="C517" s="43"/>
    </row>
    <row r="518">
      <c r="A518" s="23"/>
      <c r="B518" s="43"/>
      <c r="C518" s="43"/>
    </row>
    <row r="519">
      <c r="A519" s="23"/>
      <c r="B519" s="43"/>
      <c r="C519" s="43"/>
    </row>
    <row r="520">
      <c r="A520" s="23"/>
      <c r="B520" s="43"/>
      <c r="C520" s="43"/>
    </row>
    <row r="521">
      <c r="A521" s="23"/>
      <c r="B521" s="43"/>
      <c r="C521" s="43"/>
    </row>
    <row r="522">
      <c r="A522" s="23"/>
      <c r="B522" s="43"/>
      <c r="C522" s="43"/>
    </row>
    <row r="523">
      <c r="A523" s="23"/>
      <c r="B523" s="43"/>
      <c r="C523" s="43"/>
    </row>
    <row r="524">
      <c r="A524" s="23"/>
      <c r="B524" s="43"/>
      <c r="C524" s="43"/>
    </row>
    <row r="525">
      <c r="A525" s="23"/>
      <c r="B525" s="43"/>
      <c r="C525" s="43"/>
    </row>
    <row r="526">
      <c r="A526" s="23"/>
      <c r="B526" s="43"/>
      <c r="C526" s="43"/>
    </row>
    <row r="527">
      <c r="A527" s="23"/>
      <c r="B527" s="43"/>
      <c r="C527" s="43"/>
    </row>
    <row r="528">
      <c r="A528" s="23"/>
      <c r="B528" s="43"/>
      <c r="C528" s="43"/>
    </row>
    <row r="529">
      <c r="A529" s="23"/>
      <c r="B529" s="43"/>
      <c r="C529" s="43"/>
    </row>
    <row r="530">
      <c r="A530" s="23"/>
      <c r="B530" s="43"/>
      <c r="C530" s="43"/>
    </row>
    <row r="531">
      <c r="A531" s="23"/>
      <c r="B531" s="43"/>
      <c r="C531" s="43"/>
    </row>
    <row r="532">
      <c r="A532" s="23"/>
      <c r="B532" s="43"/>
      <c r="C532" s="43"/>
    </row>
    <row r="533">
      <c r="A533" s="23"/>
      <c r="B533" s="43"/>
      <c r="C533" s="43"/>
    </row>
    <row r="534">
      <c r="A534" s="23"/>
      <c r="B534" s="43"/>
      <c r="C534" s="43"/>
    </row>
    <row r="535">
      <c r="A535" s="23"/>
      <c r="B535" s="43"/>
      <c r="C535" s="43"/>
    </row>
    <row r="536">
      <c r="A536" s="23"/>
      <c r="B536" s="43"/>
      <c r="C536" s="43"/>
    </row>
    <row r="537">
      <c r="A537" s="23"/>
      <c r="B537" s="43"/>
      <c r="C537" s="43"/>
    </row>
    <row r="538">
      <c r="A538" s="23"/>
      <c r="B538" s="43"/>
      <c r="C538" s="43"/>
    </row>
    <row r="539">
      <c r="A539" s="23"/>
      <c r="B539" s="43"/>
      <c r="C539" s="43"/>
    </row>
    <row r="540">
      <c r="A540" s="23"/>
      <c r="B540" s="43"/>
      <c r="C540" s="43"/>
    </row>
    <row r="541">
      <c r="A541" s="23"/>
      <c r="B541" s="43"/>
      <c r="C541" s="43"/>
    </row>
    <row r="542">
      <c r="A542" s="23"/>
      <c r="B542" s="43"/>
      <c r="C542" s="43"/>
    </row>
    <row r="543">
      <c r="A543" s="23"/>
      <c r="B543" s="43"/>
      <c r="C543" s="43"/>
    </row>
    <row r="544">
      <c r="A544" s="23"/>
      <c r="B544" s="43"/>
      <c r="C544" s="43"/>
    </row>
    <row r="545">
      <c r="A545" s="23"/>
      <c r="B545" s="43"/>
      <c r="C545" s="43"/>
    </row>
    <row r="546">
      <c r="A546" s="23"/>
      <c r="B546" s="43"/>
      <c r="C546" s="43"/>
    </row>
    <row r="547">
      <c r="A547" s="23"/>
      <c r="B547" s="43"/>
      <c r="C547" s="43"/>
    </row>
    <row r="548">
      <c r="A548" s="23"/>
      <c r="B548" s="43"/>
      <c r="C548" s="43"/>
    </row>
    <row r="549">
      <c r="A549" s="23"/>
      <c r="B549" s="43"/>
      <c r="C549" s="43"/>
    </row>
    <row r="550">
      <c r="A550" s="23"/>
      <c r="B550" s="43"/>
      <c r="C550" s="43"/>
    </row>
    <row r="551">
      <c r="A551" s="23"/>
      <c r="B551" s="43"/>
      <c r="C551" s="43"/>
    </row>
    <row r="552">
      <c r="A552" s="23"/>
      <c r="B552" s="43"/>
      <c r="C552" s="43"/>
    </row>
    <row r="553">
      <c r="A553" s="23"/>
      <c r="B553" s="43"/>
      <c r="C553" s="43"/>
    </row>
    <row r="554">
      <c r="A554" s="23"/>
      <c r="B554" s="43"/>
      <c r="C554" s="43"/>
    </row>
    <row r="555">
      <c r="A555" s="23"/>
      <c r="B555" s="43"/>
      <c r="C555" s="43"/>
    </row>
    <row r="556">
      <c r="A556" s="23"/>
      <c r="B556" s="43"/>
      <c r="C556" s="43"/>
    </row>
    <row r="557">
      <c r="A557" s="23"/>
      <c r="B557" s="43"/>
      <c r="C557" s="43"/>
    </row>
    <row r="558">
      <c r="A558" s="23"/>
      <c r="B558" s="43"/>
      <c r="C558" s="43"/>
    </row>
    <row r="559">
      <c r="A559" s="23"/>
      <c r="B559" s="43"/>
      <c r="C559" s="43"/>
    </row>
    <row r="560">
      <c r="A560" s="23"/>
      <c r="B560" s="43"/>
      <c r="C560" s="43"/>
    </row>
    <row r="561">
      <c r="A561" s="23"/>
      <c r="B561" s="43"/>
      <c r="C561" s="43"/>
    </row>
    <row r="562">
      <c r="A562" s="23"/>
      <c r="B562" s="43"/>
      <c r="C562" s="43"/>
    </row>
    <row r="563">
      <c r="A563" s="23"/>
      <c r="B563" s="43"/>
      <c r="C563" s="43"/>
    </row>
    <row r="564">
      <c r="A564" s="23"/>
      <c r="B564" s="43"/>
      <c r="C564" s="43"/>
    </row>
    <row r="565">
      <c r="A565" s="23"/>
      <c r="B565" s="43"/>
      <c r="C565" s="43"/>
    </row>
    <row r="566">
      <c r="A566" s="23"/>
      <c r="B566" s="43"/>
      <c r="C566" s="43"/>
    </row>
    <row r="567">
      <c r="A567" s="23"/>
      <c r="B567" s="43"/>
      <c r="C567" s="43"/>
    </row>
    <row r="568">
      <c r="A568" s="23"/>
      <c r="B568" s="43"/>
      <c r="C568" s="43"/>
    </row>
    <row r="569">
      <c r="A569" s="23"/>
      <c r="B569" s="43"/>
      <c r="C569" s="43"/>
    </row>
    <row r="570">
      <c r="A570" s="23"/>
      <c r="B570" s="43"/>
      <c r="C570" s="43"/>
    </row>
    <row r="571">
      <c r="A571" s="23"/>
      <c r="B571" s="43"/>
      <c r="C571" s="43"/>
    </row>
    <row r="572">
      <c r="A572" s="23"/>
      <c r="B572" s="43"/>
      <c r="C572" s="43"/>
    </row>
    <row r="573">
      <c r="A573" s="23"/>
      <c r="B573" s="43"/>
      <c r="C573" s="43"/>
    </row>
    <row r="574">
      <c r="A574" s="23"/>
      <c r="B574" s="43"/>
      <c r="C574" s="43"/>
    </row>
    <row r="575">
      <c r="A575" s="23"/>
      <c r="B575" s="43"/>
      <c r="C575" s="43"/>
    </row>
    <row r="576">
      <c r="A576" s="23"/>
      <c r="B576" s="43"/>
      <c r="C576" s="43"/>
    </row>
    <row r="577">
      <c r="A577" s="23"/>
      <c r="B577" s="43"/>
      <c r="C577" s="43"/>
    </row>
    <row r="578">
      <c r="A578" s="23"/>
      <c r="B578" s="43"/>
      <c r="C578" s="43"/>
    </row>
    <row r="579">
      <c r="A579" s="23"/>
      <c r="B579" s="43"/>
      <c r="C579" s="43"/>
    </row>
    <row r="580">
      <c r="A580" s="23"/>
      <c r="B580" s="43"/>
      <c r="C580" s="43"/>
    </row>
    <row r="581">
      <c r="A581" s="23"/>
      <c r="B581" s="43"/>
      <c r="C581" s="43"/>
    </row>
    <row r="582">
      <c r="A582" s="23"/>
      <c r="B582" s="43"/>
      <c r="C582" s="43"/>
    </row>
    <row r="583">
      <c r="A583" s="23"/>
      <c r="B583" s="43"/>
      <c r="C583" s="43"/>
    </row>
    <row r="584">
      <c r="A584" s="23"/>
      <c r="B584" s="43"/>
      <c r="C584" s="43"/>
    </row>
    <row r="585">
      <c r="A585" s="23"/>
      <c r="B585" s="43"/>
      <c r="C585" s="43"/>
    </row>
    <row r="586">
      <c r="A586" s="23"/>
      <c r="B586" s="43"/>
      <c r="C586" s="43"/>
    </row>
    <row r="587">
      <c r="A587" s="23"/>
      <c r="B587" s="43"/>
      <c r="C587" s="43"/>
    </row>
    <row r="588">
      <c r="A588" s="23"/>
      <c r="B588" s="43"/>
      <c r="C588" s="43"/>
    </row>
    <row r="589">
      <c r="A589" s="23"/>
      <c r="B589" s="43"/>
      <c r="C589" s="43"/>
    </row>
    <row r="590">
      <c r="A590" s="23"/>
      <c r="B590" s="43"/>
      <c r="C590" s="43"/>
    </row>
    <row r="591">
      <c r="A591" s="23"/>
      <c r="B591" s="43"/>
      <c r="C591" s="43"/>
    </row>
    <row r="592">
      <c r="A592" s="23"/>
      <c r="B592" s="43"/>
      <c r="C592" s="43"/>
    </row>
    <row r="593">
      <c r="A593" s="23"/>
      <c r="B593" s="43"/>
      <c r="C593" s="43"/>
    </row>
    <row r="594">
      <c r="A594" s="23"/>
      <c r="B594" s="43"/>
      <c r="C594" s="43"/>
    </row>
    <row r="595">
      <c r="A595" s="23"/>
      <c r="B595" s="43"/>
      <c r="C595" s="43"/>
    </row>
    <row r="596">
      <c r="A596" s="23"/>
      <c r="B596" s="43"/>
      <c r="C596" s="43"/>
    </row>
    <row r="597">
      <c r="A597" s="23"/>
      <c r="B597" s="43"/>
      <c r="C597" s="43"/>
    </row>
    <row r="598">
      <c r="A598" s="23"/>
      <c r="B598" s="43"/>
      <c r="C598" s="43"/>
    </row>
    <row r="599">
      <c r="A599" s="23"/>
      <c r="B599" s="43"/>
      <c r="C599" s="43"/>
    </row>
    <row r="600">
      <c r="A600" s="23"/>
      <c r="B600" s="43"/>
      <c r="C600" s="43"/>
    </row>
    <row r="601">
      <c r="A601" s="23"/>
      <c r="B601" s="43"/>
      <c r="C601" s="43"/>
    </row>
    <row r="602">
      <c r="A602" s="23"/>
      <c r="B602" s="43"/>
      <c r="C602" s="43"/>
    </row>
    <row r="603">
      <c r="A603" s="23"/>
      <c r="B603" s="43"/>
      <c r="C603" s="43"/>
    </row>
    <row r="604">
      <c r="A604" s="23"/>
      <c r="B604" s="43"/>
      <c r="C604" s="43"/>
    </row>
    <row r="605">
      <c r="A605" s="23"/>
      <c r="B605" s="43"/>
      <c r="C605" s="43"/>
    </row>
    <row r="606">
      <c r="A606" s="23"/>
      <c r="B606" s="43"/>
      <c r="C606" s="43"/>
    </row>
    <row r="607">
      <c r="A607" s="23"/>
      <c r="B607" s="43"/>
      <c r="C607" s="43"/>
    </row>
    <row r="608">
      <c r="A608" s="23"/>
      <c r="B608" s="43"/>
      <c r="C608" s="43"/>
    </row>
    <row r="609">
      <c r="A609" s="23"/>
      <c r="B609" s="43"/>
      <c r="C609" s="43"/>
    </row>
    <row r="610">
      <c r="A610" s="23"/>
      <c r="B610" s="43"/>
      <c r="C610" s="43"/>
    </row>
    <row r="611">
      <c r="A611" s="23"/>
      <c r="B611" s="43"/>
      <c r="C611" s="43"/>
    </row>
    <row r="612">
      <c r="A612" s="23"/>
      <c r="B612" s="43"/>
      <c r="C612" s="43"/>
    </row>
    <row r="613">
      <c r="A613" s="23"/>
      <c r="B613" s="43"/>
      <c r="C613" s="43"/>
    </row>
    <row r="614">
      <c r="A614" s="23"/>
      <c r="B614" s="43"/>
      <c r="C614" s="43"/>
    </row>
    <row r="615">
      <c r="A615" s="23"/>
      <c r="B615" s="43"/>
      <c r="C615" s="43"/>
    </row>
    <row r="616">
      <c r="A616" s="23"/>
      <c r="B616" s="43"/>
      <c r="C616" s="43"/>
    </row>
    <row r="617">
      <c r="A617" s="23"/>
      <c r="B617" s="43"/>
      <c r="C617" s="43"/>
    </row>
    <row r="618">
      <c r="A618" s="23"/>
      <c r="B618" s="43"/>
      <c r="C618" s="43"/>
    </row>
    <row r="619">
      <c r="A619" s="23"/>
      <c r="B619" s="43"/>
      <c r="C619" s="43"/>
    </row>
    <row r="620">
      <c r="A620" s="23"/>
      <c r="B620" s="43"/>
      <c r="C620" s="43"/>
    </row>
    <row r="621">
      <c r="A621" s="23"/>
      <c r="B621" s="43"/>
      <c r="C621" s="43"/>
    </row>
    <row r="622">
      <c r="A622" s="23"/>
      <c r="B622" s="43"/>
      <c r="C622" s="43"/>
    </row>
    <row r="623">
      <c r="A623" s="23"/>
      <c r="B623" s="43"/>
      <c r="C623" s="43"/>
    </row>
    <row r="624">
      <c r="A624" s="23"/>
      <c r="B624" s="43"/>
      <c r="C624" s="43"/>
    </row>
    <row r="625">
      <c r="A625" s="23"/>
      <c r="B625" s="43"/>
      <c r="C625" s="43"/>
    </row>
    <row r="626">
      <c r="A626" s="23"/>
      <c r="B626" s="43"/>
      <c r="C626" s="43"/>
    </row>
    <row r="627">
      <c r="A627" s="23"/>
      <c r="B627" s="43"/>
      <c r="C627" s="43"/>
    </row>
    <row r="628">
      <c r="A628" s="23"/>
      <c r="B628" s="43"/>
      <c r="C628" s="43"/>
    </row>
    <row r="629">
      <c r="A629" s="23"/>
      <c r="B629" s="43"/>
      <c r="C629" s="43"/>
    </row>
    <row r="630">
      <c r="A630" s="23"/>
      <c r="B630" s="43"/>
      <c r="C630" s="43"/>
    </row>
    <row r="631">
      <c r="A631" s="23"/>
      <c r="B631" s="43"/>
      <c r="C631" s="43"/>
    </row>
    <row r="632">
      <c r="A632" s="23"/>
      <c r="B632" s="43"/>
      <c r="C632" s="43"/>
    </row>
    <row r="633">
      <c r="A633" s="23"/>
      <c r="B633" s="43"/>
      <c r="C633" s="43"/>
    </row>
    <row r="634">
      <c r="A634" s="23"/>
      <c r="B634" s="43"/>
      <c r="C634" s="43"/>
    </row>
    <row r="635">
      <c r="A635" s="23"/>
      <c r="B635" s="43"/>
      <c r="C635" s="43"/>
    </row>
    <row r="636">
      <c r="A636" s="23"/>
      <c r="B636" s="43"/>
      <c r="C636" s="43"/>
    </row>
    <row r="637">
      <c r="A637" s="23"/>
      <c r="B637" s="43"/>
      <c r="C637" s="43"/>
    </row>
    <row r="638">
      <c r="A638" s="23"/>
      <c r="B638" s="43"/>
      <c r="C638" s="43"/>
    </row>
    <row r="639">
      <c r="A639" s="23"/>
      <c r="B639" s="43"/>
      <c r="C639" s="43"/>
    </row>
    <row r="640">
      <c r="A640" s="23"/>
      <c r="B640" s="43"/>
      <c r="C640" s="43"/>
    </row>
    <row r="641">
      <c r="A641" s="23"/>
      <c r="B641" s="43"/>
      <c r="C641" s="43"/>
    </row>
    <row r="642">
      <c r="A642" s="23"/>
      <c r="B642" s="43"/>
      <c r="C642" s="43"/>
    </row>
    <row r="643">
      <c r="A643" s="23"/>
      <c r="B643" s="43"/>
      <c r="C643" s="43"/>
    </row>
    <row r="644">
      <c r="A644" s="23"/>
      <c r="B644" s="43"/>
      <c r="C644" s="43"/>
    </row>
    <row r="645">
      <c r="A645" s="23"/>
      <c r="B645" s="43"/>
      <c r="C645" s="43"/>
    </row>
    <row r="646">
      <c r="A646" s="23"/>
      <c r="B646" s="43"/>
      <c r="C646" s="43"/>
    </row>
    <row r="647">
      <c r="A647" s="23"/>
      <c r="B647" s="43"/>
      <c r="C647" s="43"/>
    </row>
    <row r="648">
      <c r="A648" s="23"/>
      <c r="B648" s="43"/>
      <c r="C648" s="43"/>
    </row>
    <row r="649">
      <c r="A649" s="23"/>
      <c r="B649" s="43"/>
      <c r="C649" s="43"/>
    </row>
    <row r="650">
      <c r="A650" s="23"/>
      <c r="B650" s="43"/>
      <c r="C650" s="43"/>
    </row>
    <row r="651">
      <c r="A651" s="23"/>
      <c r="B651" s="43"/>
      <c r="C651" s="43"/>
    </row>
    <row r="652">
      <c r="A652" s="23"/>
      <c r="B652" s="43"/>
      <c r="C652" s="43"/>
    </row>
    <row r="653">
      <c r="A653" s="23"/>
      <c r="B653" s="43"/>
      <c r="C653" s="43"/>
    </row>
    <row r="654">
      <c r="A654" s="23"/>
      <c r="B654" s="43"/>
      <c r="C654" s="43"/>
    </row>
    <row r="655">
      <c r="A655" s="23"/>
      <c r="B655" s="43"/>
      <c r="C655" s="43"/>
    </row>
    <row r="656">
      <c r="A656" s="23"/>
      <c r="B656" s="43"/>
      <c r="C656" s="43"/>
    </row>
    <row r="657">
      <c r="A657" s="23"/>
      <c r="B657" s="43"/>
      <c r="C657" s="43"/>
    </row>
    <row r="658">
      <c r="A658" s="23"/>
      <c r="B658" s="43"/>
      <c r="C658" s="43"/>
    </row>
    <row r="659">
      <c r="A659" s="23"/>
      <c r="B659" s="43"/>
      <c r="C659" s="43"/>
    </row>
    <row r="660">
      <c r="A660" s="23"/>
      <c r="B660" s="43"/>
      <c r="C660" s="43"/>
    </row>
    <row r="661">
      <c r="A661" s="23"/>
      <c r="B661" s="43"/>
      <c r="C661" s="43"/>
    </row>
    <row r="662">
      <c r="A662" s="23"/>
      <c r="B662" s="43"/>
      <c r="C662" s="43"/>
    </row>
    <row r="663">
      <c r="A663" s="23"/>
      <c r="B663" s="43"/>
      <c r="C663" s="43"/>
    </row>
    <row r="664">
      <c r="A664" s="23"/>
      <c r="B664" s="43"/>
      <c r="C664" s="43"/>
    </row>
    <row r="665">
      <c r="A665" s="23"/>
      <c r="B665" s="43"/>
      <c r="C665" s="43"/>
    </row>
    <row r="666">
      <c r="A666" s="23"/>
      <c r="B666" s="43"/>
      <c r="C666" s="43"/>
    </row>
    <row r="667">
      <c r="A667" s="23"/>
      <c r="B667" s="43"/>
      <c r="C667" s="43"/>
    </row>
    <row r="668">
      <c r="A668" s="23"/>
      <c r="B668" s="43"/>
      <c r="C668" s="43"/>
    </row>
    <row r="669">
      <c r="A669" s="23"/>
      <c r="B669" s="43"/>
      <c r="C669" s="43"/>
    </row>
    <row r="670">
      <c r="A670" s="23"/>
      <c r="B670" s="43"/>
      <c r="C670" s="43"/>
    </row>
    <row r="671">
      <c r="A671" s="23"/>
      <c r="B671" s="43"/>
      <c r="C671" s="43"/>
    </row>
    <row r="672">
      <c r="A672" s="23"/>
      <c r="B672" s="43"/>
      <c r="C672" s="43"/>
    </row>
    <row r="673">
      <c r="A673" s="23"/>
      <c r="B673" s="43"/>
      <c r="C673" s="43"/>
    </row>
    <row r="674">
      <c r="A674" s="23"/>
      <c r="B674" s="43"/>
      <c r="C674" s="43"/>
    </row>
    <row r="675">
      <c r="A675" s="23"/>
      <c r="B675" s="43"/>
      <c r="C675" s="43"/>
    </row>
    <row r="676">
      <c r="A676" s="23"/>
      <c r="B676" s="43"/>
      <c r="C676" s="43"/>
    </row>
    <row r="677">
      <c r="A677" s="23"/>
      <c r="B677" s="43"/>
      <c r="C677" s="43"/>
    </row>
    <row r="678">
      <c r="A678" s="23"/>
      <c r="B678" s="43"/>
      <c r="C678" s="43"/>
    </row>
    <row r="679">
      <c r="A679" s="23"/>
      <c r="B679" s="43"/>
      <c r="C679" s="43"/>
    </row>
    <row r="680">
      <c r="A680" s="23"/>
      <c r="B680" s="43"/>
      <c r="C680" s="43"/>
    </row>
    <row r="681">
      <c r="A681" s="23"/>
      <c r="B681" s="43"/>
      <c r="C681" s="43"/>
    </row>
    <row r="682">
      <c r="A682" s="23"/>
      <c r="B682" s="43"/>
      <c r="C682" s="43"/>
    </row>
    <row r="683">
      <c r="A683" s="23"/>
      <c r="B683" s="43"/>
      <c r="C683" s="43"/>
    </row>
    <row r="684">
      <c r="A684" s="23"/>
      <c r="B684" s="43"/>
      <c r="C684" s="43"/>
    </row>
    <row r="685">
      <c r="A685" s="23"/>
      <c r="B685" s="43"/>
      <c r="C685" s="43"/>
    </row>
    <row r="686">
      <c r="A686" s="23"/>
      <c r="B686" s="43"/>
      <c r="C686" s="43"/>
    </row>
    <row r="687">
      <c r="A687" s="23"/>
      <c r="B687" s="43"/>
      <c r="C687" s="43"/>
    </row>
    <row r="688">
      <c r="A688" s="23"/>
      <c r="B688" s="43"/>
      <c r="C688" s="43"/>
    </row>
    <row r="689">
      <c r="A689" s="23"/>
      <c r="B689" s="43"/>
      <c r="C689" s="43"/>
    </row>
    <row r="690">
      <c r="A690" s="23"/>
      <c r="B690" s="43"/>
      <c r="C690" s="43"/>
    </row>
    <row r="691">
      <c r="A691" s="23"/>
      <c r="B691" s="43"/>
      <c r="C691" s="43"/>
    </row>
    <row r="692">
      <c r="A692" s="23"/>
      <c r="B692" s="43"/>
      <c r="C692" s="43"/>
    </row>
    <row r="693">
      <c r="A693" s="23"/>
      <c r="B693" s="43"/>
      <c r="C693" s="43"/>
    </row>
    <row r="694">
      <c r="A694" s="23"/>
      <c r="B694" s="43"/>
      <c r="C694" s="43"/>
    </row>
    <row r="695">
      <c r="A695" s="23"/>
      <c r="B695" s="43"/>
      <c r="C695" s="43"/>
    </row>
    <row r="696">
      <c r="A696" s="23"/>
      <c r="B696" s="43"/>
      <c r="C696" s="43"/>
    </row>
    <row r="697">
      <c r="A697" s="23"/>
      <c r="B697" s="43"/>
      <c r="C697" s="43"/>
    </row>
    <row r="698">
      <c r="A698" s="23"/>
      <c r="B698" s="43"/>
      <c r="C698" s="43"/>
    </row>
    <row r="699">
      <c r="A699" s="23"/>
      <c r="B699" s="43"/>
      <c r="C699" s="43"/>
    </row>
    <row r="700">
      <c r="A700" s="23"/>
      <c r="B700" s="43"/>
      <c r="C700" s="43"/>
    </row>
    <row r="701">
      <c r="A701" s="23"/>
      <c r="B701" s="43"/>
      <c r="C701" s="43"/>
    </row>
    <row r="702">
      <c r="A702" s="23"/>
      <c r="B702" s="43"/>
      <c r="C702" s="43"/>
    </row>
    <row r="703">
      <c r="A703" s="23"/>
      <c r="B703" s="43"/>
      <c r="C703" s="43"/>
    </row>
    <row r="704">
      <c r="A704" s="23"/>
      <c r="B704" s="43"/>
      <c r="C704" s="43"/>
    </row>
    <row r="705">
      <c r="A705" s="23"/>
      <c r="B705" s="43"/>
      <c r="C705" s="43"/>
    </row>
    <row r="706">
      <c r="A706" s="23"/>
      <c r="B706" s="43"/>
      <c r="C706" s="43"/>
    </row>
    <row r="707">
      <c r="A707" s="23"/>
      <c r="B707" s="43"/>
      <c r="C707" s="43"/>
    </row>
    <row r="708">
      <c r="A708" s="23"/>
      <c r="B708" s="43"/>
      <c r="C708" s="43"/>
    </row>
    <row r="709">
      <c r="A709" s="23"/>
      <c r="B709" s="43"/>
      <c r="C709" s="43"/>
    </row>
    <row r="710">
      <c r="A710" s="23"/>
      <c r="B710" s="43"/>
      <c r="C710" s="43"/>
    </row>
    <row r="711">
      <c r="A711" s="23"/>
      <c r="B711" s="43"/>
      <c r="C711" s="43"/>
    </row>
    <row r="712">
      <c r="A712" s="23"/>
      <c r="B712" s="43"/>
      <c r="C712" s="43"/>
    </row>
    <row r="713">
      <c r="A713" s="23"/>
      <c r="B713" s="43"/>
      <c r="C713" s="43"/>
    </row>
    <row r="714">
      <c r="A714" s="23"/>
      <c r="B714" s="43"/>
      <c r="C714" s="43"/>
    </row>
    <row r="715">
      <c r="A715" s="23"/>
      <c r="B715" s="43"/>
      <c r="C715" s="43"/>
    </row>
    <row r="716">
      <c r="A716" s="23"/>
      <c r="B716" s="43"/>
      <c r="C716" s="43"/>
    </row>
    <row r="717">
      <c r="A717" s="23"/>
      <c r="B717" s="43"/>
      <c r="C717" s="43"/>
    </row>
    <row r="718">
      <c r="A718" s="23"/>
      <c r="B718" s="43"/>
      <c r="C718" s="43"/>
    </row>
    <row r="719">
      <c r="A719" s="23"/>
      <c r="B719" s="43"/>
      <c r="C719" s="43"/>
    </row>
    <row r="720">
      <c r="A720" s="23"/>
      <c r="B720" s="43"/>
      <c r="C720" s="43"/>
    </row>
    <row r="721">
      <c r="A721" s="23"/>
      <c r="B721" s="43"/>
      <c r="C721" s="43"/>
    </row>
    <row r="722">
      <c r="A722" s="23"/>
      <c r="B722" s="43"/>
      <c r="C722" s="43"/>
    </row>
    <row r="723">
      <c r="A723" s="23"/>
      <c r="B723" s="43"/>
      <c r="C723" s="43"/>
    </row>
    <row r="724">
      <c r="A724" s="23"/>
      <c r="B724" s="43"/>
      <c r="C724" s="43"/>
    </row>
    <row r="725">
      <c r="A725" s="23"/>
      <c r="B725" s="43"/>
      <c r="C725" s="43"/>
    </row>
    <row r="726">
      <c r="A726" s="23"/>
      <c r="B726" s="43"/>
      <c r="C726" s="43"/>
    </row>
    <row r="727">
      <c r="A727" s="23"/>
      <c r="B727" s="43"/>
      <c r="C727" s="43"/>
    </row>
    <row r="728">
      <c r="A728" s="23"/>
      <c r="B728" s="43"/>
      <c r="C728" s="43"/>
    </row>
    <row r="729">
      <c r="A729" s="23"/>
      <c r="B729" s="43"/>
      <c r="C729" s="43"/>
    </row>
    <row r="730">
      <c r="A730" s="23"/>
      <c r="B730" s="43"/>
      <c r="C730" s="43"/>
    </row>
    <row r="731">
      <c r="A731" s="23"/>
      <c r="B731" s="43"/>
      <c r="C731" s="43"/>
    </row>
    <row r="732">
      <c r="A732" s="23"/>
      <c r="B732" s="43"/>
      <c r="C732" s="43"/>
    </row>
    <row r="733">
      <c r="A733" s="23"/>
      <c r="B733" s="43"/>
      <c r="C733" s="43"/>
    </row>
    <row r="734">
      <c r="A734" s="23"/>
      <c r="B734" s="43"/>
      <c r="C734" s="43"/>
    </row>
    <row r="735">
      <c r="A735" s="23"/>
      <c r="B735" s="43"/>
      <c r="C735" s="43"/>
    </row>
    <row r="736">
      <c r="A736" s="23"/>
      <c r="B736" s="43"/>
      <c r="C736" s="43"/>
    </row>
    <row r="737">
      <c r="A737" s="23"/>
      <c r="B737" s="43"/>
      <c r="C737" s="43"/>
    </row>
    <row r="738">
      <c r="A738" s="23"/>
      <c r="B738" s="43"/>
      <c r="C738" s="43"/>
    </row>
    <row r="739">
      <c r="A739" s="23"/>
      <c r="B739" s="43"/>
      <c r="C739" s="43"/>
    </row>
    <row r="740">
      <c r="A740" s="23"/>
      <c r="B740" s="43"/>
      <c r="C740" s="43"/>
    </row>
    <row r="741">
      <c r="A741" s="23"/>
      <c r="B741" s="43"/>
      <c r="C741" s="43"/>
    </row>
    <row r="742">
      <c r="A742" s="23"/>
      <c r="B742" s="43"/>
      <c r="C742" s="43"/>
    </row>
    <row r="743">
      <c r="A743" s="23"/>
      <c r="B743" s="43"/>
      <c r="C743" s="43"/>
    </row>
    <row r="744">
      <c r="A744" s="23"/>
      <c r="B744" s="43"/>
      <c r="C744" s="43"/>
    </row>
    <row r="745">
      <c r="A745" s="23"/>
      <c r="B745" s="43"/>
      <c r="C745" s="43"/>
    </row>
    <row r="746">
      <c r="A746" s="23"/>
      <c r="B746" s="43"/>
      <c r="C746" s="43"/>
    </row>
    <row r="747">
      <c r="A747" s="23"/>
      <c r="B747" s="43"/>
      <c r="C747" s="43"/>
    </row>
    <row r="748">
      <c r="A748" s="23"/>
      <c r="B748" s="43"/>
      <c r="C748" s="43"/>
    </row>
    <row r="749">
      <c r="A749" s="23"/>
      <c r="B749" s="43"/>
      <c r="C749" s="43"/>
    </row>
    <row r="750">
      <c r="A750" s="23"/>
      <c r="B750" s="43"/>
      <c r="C750" s="43"/>
    </row>
    <row r="751">
      <c r="A751" s="23"/>
      <c r="B751" s="43"/>
      <c r="C751" s="43"/>
    </row>
    <row r="752">
      <c r="A752" s="23"/>
      <c r="B752" s="43"/>
      <c r="C752" s="43"/>
    </row>
    <row r="753">
      <c r="A753" s="23"/>
      <c r="B753" s="43"/>
      <c r="C753" s="43"/>
    </row>
    <row r="754">
      <c r="A754" s="23"/>
      <c r="B754" s="43"/>
      <c r="C754" s="43"/>
    </row>
    <row r="755">
      <c r="A755" s="23"/>
      <c r="B755" s="43"/>
      <c r="C755" s="43"/>
    </row>
    <row r="756">
      <c r="A756" s="23"/>
      <c r="B756" s="43"/>
      <c r="C756" s="43"/>
    </row>
    <row r="757">
      <c r="A757" s="23"/>
      <c r="B757" s="43"/>
      <c r="C757" s="43"/>
    </row>
    <row r="758">
      <c r="A758" s="23"/>
      <c r="B758" s="43"/>
      <c r="C758" s="43"/>
    </row>
    <row r="759">
      <c r="A759" s="23"/>
      <c r="B759" s="43"/>
      <c r="C759" s="43"/>
    </row>
    <row r="760">
      <c r="A760" s="23"/>
      <c r="B760" s="43"/>
      <c r="C760" s="43"/>
    </row>
    <row r="761">
      <c r="A761" s="23"/>
      <c r="B761" s="43"/>
      <c r="C761" s="43"/>
    </row>
    <row r="762">
      <c r="A762" s="23"/>
      <c r="B762" s="43"/>
      <c r="C762" s="43"/>
    </row>
    <row r="763">
      <c r="A763" s="23"/>
      <c r="B763" s="43"/>
      <c r="C763" s="43"/>
    </row>
    <row r="764">
      <c r="A764" s="23"/>
      <c r="B764" s="43"/>
      <c r="C764" s="43"/>
    </row>
    <row r="765">
      <c r="A765" s="23"/>
      <c r="B765" s="43"/>
      <c r="C765" s="43"/>
    </row>
    <row r="766">
      <c r="A766" s="23"/>
      <c r="B766" s="43"/>
      <c r="C766" s="43"/>
    </row>
    <row r="767">
      <c r="A767" s="23"/>
      <c r="B767" s="43"/>
      <c r="C767" s="43"/>
    </row>
    <row r="768">
      <c r="A768" s="23"/>
      <c r="B768" s="43"/>
      <c r="C768" s="43"/>
    </row>
    <row r="769">
      <c r="A769" s="23"/>
      <c r="B769" s="43"/>
      <c r="C769" s="43"/>
    </row>
    <row r="770">
      <c r="A770" s="23"/>
      <c r="B770" s="43"/>
      <c r="C770" s="43"/>
    </row>
    <row r="771">
      <c r="A771" s="23"/>
      <c r="B771" s="43"/>
      <c r="C771" s="43"/>
    </row>
    <row r="772">
      <c r="A772" s="23"/>
      <c r="B772" s="43"/>
      <c r="C772" s="43"/>
    </row>
    <row r="773">
      <c r="A773" s="23"/>
      <c r="B773" s="43"/>
      <c r="C773" s="43"/>
    </row>
    <row r="774">
      <c r="A774" s="23"/>
      <c r="B774" s="43"/>
      <c r="C774" s="43"/>
    </row>
    <row r="775">
      <c r="A775" s="23"/>
      <c r="B775" s="43"/>
      <c r="C775" s="43"/>
    </row>
    <row r="776">
      <c r="A776" s="23"/>
      <c r="B776" s="43"/>
      <c r="C776" s="43"/>
    </row>
    <row r="777">
      <c r="A777" s="23"/>
      <c r="B777" s="43"/>
      <c r="C777" s="43"/>
    </row>
    <row r="778">
      <c r="A778" s="23"/>
      <c r="B778" s="43"/>
      <c r="C778" s="43"/>
    </row>
    <row r="779">
      <c r="A779" s="23"/>
      <c r="B779" s="43"/>
      <c r="C779" s="43"/>
    </row>
    <row r="780">
      <c r="A780" s="23"/>
      <c r="B780" s="43"/>
      <c r="C780" s="43"/>
    </row>
    <row r="781">
      <c r="A781" s="23"/>
      <c r="B781" s="43"/>
      <c r="C781" s="43"/>
    </row>
    <row r="782">
      <c r="A782" s="23"/>
      <c r="B782" s="43"/>
      <c r="C782" s="43"/>
    </row>
    <row r="783">
      <c r="A783" s="23"/>
      <c r="B783" s="43"/>
      <c r="C783" s="43"/>
    </row>
    <row r="784">
      <c r="A784" s="23"/>
      <c r="B784" s="43"/>
      <c r="C784" s="43"/>
    </row>
    <row r="785">
      <c r="A785" s="23"/>
      <c r="B785" s="43"/>
      <c r="C785" s="43"/>
    </row>
    <row r="786">
      <c r="A786" s="23"/>
      <c r="B786" s="43"/>
      <c r="C786" s="43"/>
    </row>
    <row r="787">
      <c r="A787" s="23"/>
      <c r="B787" s="43"/>
      <c r="C787" s="43"/>
    </row>
    <row r="788">
      <c r="A788" s="23"/>
      <c r="B788" s="43"/>
      <c r="C788" s="43"/>
    </row>
    <row r="789">
      <c r="A789" s="23"/>
      <c r="B789" s="43"/>
      <c r="C789" s="43"/>
    </row>
    <row r="790">
      <c r="A790" s="23"/>
      <c r="B790" s="43"/>
      <c r="C790" s="43"/>
    </row>
    <row r="791">
      <c r="A791" s="23"/>
      <c r="B791" s="43"/>
      <c r="C791" s="43"/>
    </row>
    <row r="792">
      <c r="A792" s="23"/>
      <c r="B792" s="43"/>
      <c r="C792" s="43"/>
    </row>
    <row r="793">
      <c r="A793" s="23"/>
      <c r="B793" s="43"/>
      <c r="C793" s="43"/>
    </row>
    <row r="794">
      <c r="A794" s="23"/>
      <c r="B794" s="43"/>
      <c r="C794" s="43"/>
    </row>
    <row r="795">
      <c r="A795" s="23"/>
      <c r="B795" s="43"/>
      <c r="C795" s="43"/>
    </row>
    <row r="796">
      <c r="A796" s="23"/>
      <c r="B796" s="43"/>
      <c r="C796" s="43"/>
    </row>
    <row r="797">
      <c r="A797" s="23"/>
      <c r="B797" s="43"/>
      <c r="C797" s="43"/>
    </row>
    <row r="798">
      <c r="A798" s="23"/>
      <c r="B798" s="43"/>
      <c r="C798" s="43"/>
    </row>
    <row r="799">
      <c r="A799" s="23"/>
      <c r="B799" s="43"/>
      <c r="C799" s="43"/>
    </row>
    <row r="800">
      <c r="A800" s="23"/>
      <c r="B800" s="43"/>
      <c r="C800" s="43"/>
    </row>
    <row r="801">
      <c r="A801" s="23"/>
      <c r="B801" s="43"/>
      <c r="C801" s="43"/>
    </row>
    <row r="802">
      <c r="A802" s="23"/>
      <c r="B802" s="43"/>
      <c r="C802" s="43"/>
    </row>
    <row r="803">
      <c r="A803" s="23"/>
      <c r="B803" s="43"/>
      <c r="C803" s="43"/>
    </row>
    <row r="804">
      <c r="A804" s="23"/>
      <c r="B804" s="43"/>
      <c r="C804" s="43"/>
    </row>
    <row r="805">
      <c r="A805" s="23"/>
      <c r="B805" s="43"/>
      <c r="C805" s="43"/>
    </row>
    <row r="806">
      <c r="A806" s="23"/>
      <c r="B806" s="43"/>
      <c r="C806" s="43"/>
    </row>
    <row r="807">
      <c r="A807" s="23"/>
      <c r="B807" s="43"/>
      <c r="C807" s="43"/>
    </row>
    <row r="808">
      <c r="A808" s="23"/>
      <c r="B808" s="43"/>
      <c r="C808" s="43"/>
    </row>
    <row r="809">
      <c r="A809" s="23"/>
      <c r="B809" s="43"/>
      <c r="C809" s="43"/>
    </row>
    <row r="810">
      <c r="A810" s="23"/>
      <c r="B810" s="43"/>
      <c r="C810" s="43"/>
    </row>
    <row r="811">
      <c r="A811" s="23"/>
      <c r="B811" s="43"/>
      <c r="C811" s="43"/>
    </row>
    <row r="812">
      <c r="A812" s="23"/>
      <c r="B812" s="43"/>
      <c r="C812" s="43"/>
    </row>
    <row r="813">
      <c r="A813" s="23"/>
      <c r="B813" s="43"/>
      <c r="C813" s="43"/>
    </row>
    <row r="814">
      <c r="A814" s="23"/>
      <c r="B814" s="43"/>
      <c r="C814" s="43"/>
    </row>
    <row r="815">
      <c r="A815" s="23"/>
      <c r="B815" s="43"/>
      <c r="C815" s="43"/>
    </row>
    <row r="816">
      <c r="A816" s="23"/>
      <c r="B816" s="43"/>
      <c r="C816" s="43"/>
    </row>
    <row r="817">
      <c r="A817" s="23"/>
      <c r="B817" s="43"/>
      <c r="C817" s="43"/>
    </row>
    <row r="818">
      <c r="A818" s="23"/>
      <c r="B818" s="43"/>
      <c r="C818" s="43"/>
    </row>
    <row r="819">
      <c r="A819" s="23"/>
      <c r="B819" s="43"/>
      <c r="C819" s="43"/>
    </row>
    <row r="820">
      <c r="A820" s="23"/>
      <c r="B820" s="43"/>
      <c r="C820" s="43"/>
    </row>
    <row r="821">
      <c r="A821" s="23"/>
      <c r="B821" s="43"/>
      <c r="C821" s="43"/>
    </row>
    <row r="822">
      <c r="A822" s="23"/>
      <c r="B822" s="43"/>
      <c r="C822" s="43"/>
    </row>
    <row r="823">
      <c r="A823" s="23"/>
      <c r="B823" s="43"/>
      <c r="C823" s="43"/>
    </row>
    <row r="824">
      <c r="A824" s="23"/>
      <c r="B824" s="43"/>
      <c r="C824" s="43"/>
    </row>
    <row r="825">
      <c r="A825" s="23"/>
      <c r="B825" s="43"/>
      <c r="C825" s="43"/>
    </row>
    <row r="826">
      <c r="A826" s="23"/>
      <c r="B826" s="43"/>
      <c r="C826" s="43"/>
    </row>
    <row r="827">
      <c r="A827" s="23"/>
      <c r="B827" s="43"/>
      <c r="C827" s="43"/>
    </row>
    <row r="828">
      <c r="A828" s="23"/>
      <c r="B828" s="43"/>
      <c r="C828" s="43"/>
    </row>
    <row r="829">
      <c r="A829" s="23"/>
      <c r="B829" s="43"/>
      <c r="C829" s="43"/>
    </row>
    <row r="830">
      <c r="A830" s="23"/>
      <c r="B830" s="43"/>
      <c r="C830" s="43"/>
    </row>
    <row r="831">
      <c r="A831" s="23"/>
      <c r="B831" s="43"/>
      <c r="C831" s="43"/>
    </row>
    <row r="832">
      <c r="A832" s="23"/>
      <c r="B832" s="43"/>
      <c r="C832" s="43"/>
    </row>
    <row r="833">
      <c r="A833" s="23"/>
      <c r="B833" s="43"/>
      <c r="C833" s="43"/>
    </row>
    <row r="834">
      <c r="A834" s="23"/>
      <c r="B834" s="43"/>
      <c r="C834" s="43"/>
    </row>
    <row r="835">
      <c r="A835" s="23"/>
      <c r="B835" s="43"/>
      <c r="C835" s="43"/>
    </row>
    <row r="836">
      <c r="A836" s="23"/>
      <c r="B836" s="43"/>
      <c r="C836" s="43"/>
    </row>
    <row r="837">
      <c r="A837" s="23"/>
      <c r="B837" s="43"/>
      <c r="C837" s="43"/>
    </row>
    <row r="838">
      <c r="A838" s="23"/>
      <c r="B838" s="43"/>
      <c r="C838" s="43"/>
    </row>
    <row r="839">
      <c r="A839" s="23"/>
      <c r="B839" s="43"/>
      <c r="C839" s="43"/>
    </row>
    <row r="840">
      <c r="A840" s="23"/>
      <c r="B840" s="43"/>
      <c r="C840" s="43"/>
    </row>
    <row r="841">
      <c r="A841" s="23"/>
      <c r="B841" s="43"/>
      <c r="C841" s="43"/>
    </row>
    <row r="842">
      <c r="A842" s="23"/>
      <c r="B842" s="43"/>
      <c r="C842" s="43"/>
    </row>
    <row r="843">
      <c r="A843" s="23"/>
      <c r="B843" s="43"/>
      <c r="C843" s="43"/>
    </row>
    <row r="844">
      <c r="A844" s="23"/>
      <c r="B844" s="43"/>
      <c r="C844" s="43"/>
    </row>
    <row r="845">
      <c r="A845" s="23"/>
      <c r="B845" s="43"/>
      <c r="C845" s="43"/>
    </row>
    <row r="846">
      <c r="A846" s="23"/>
      <c r="B846" s="43"/>
      <c r="C846" s="43"/>
    </row>
    <row r="847">
      <c r="A847" s="23"/>
      <c r="B847" s="43"/>
      <c r="C847" s="43"/>
    </row>
    <row r="848">
      <c r="A848" s="23"/>
      <c r="B848" s="43"/>
      <c r="C848" s="43"/>
    </row>
    <row r="849">
      <c r="A849" s="23"/>
      <c r="B849" s="43"/>
      <c r="C849" s="43"/>
    </row>
    <row r="850">
      <c r="A850" s="23"/>
      <c r="B850" s="43"/>
      <c r="C850" s="43"/>
    </row>
    <row r="851">
      <c r="A851" s="23"/>
      <c r="B851" s="43"/>
      <c r="C851" s="43"/>
    </row>
    <row r="852">
      <c r="A852" s="23"/>
      <c r="B852" s="43"/>
      <c r="C852" s="43"/>
    </row>
    <row r="853">
      <c r="A853" s="23"/>
      <c r="B853" s="43"/>
      <c r="C853" s="43"/>
    </row>
    <row r="854">
      <c r="A854" s="23"/>
      <c r="B854" s="43"/>
      <c r="C854" s="43"/>
    </row>
    <row r="855">
      <c r="A855" s="23"/>
      <c r="B855" s="43"/>
      <c r="C855" s="43"/>
    </row>
    <row r="856">
      <c r="A856" s="23"/>
      <c r="B856" s="43"/>
      <c r="C856" s="43"/>
    </row>
    <row r="857">
      <c r="A857" s="23"/>
      <c r="B857" s="43"/>
      <c r="C857" s="43"/>
    </row>
    <row r="858">
      <c r="A858" s="23"/>
      <c r="B858" s="43"/>
      <c r="C858" s="43"/>
    </row>
    <row r="859">
      <c r="A859" s="23"/>
      <c r="B859" s="43"/>
      <c r="C859" s="43"/>
    </row>
    <row r="860">
      <c r="A860" s="23"/>
      <c r="B860" s="43"/>
      <c r="C860" s="43"/>
    </row>
    <row r="861">
      <c r="A861" s="23"/>
      <c r="B861" s="43"/>
      <c r="C861" s="43"/>
    </row>
    <row r="862">
      <c r="A862" s="23"/>
      <c r="B862" s="43"/>
      <c r="C862" s="43"/>
    </row>
    <row r="863">
      <c r="A863" s="23"/>
      <c r="B863" s="43"/>
      <c r="C863" s="43"/>
    </row>
    <row r="864">
      <c r="A864" s="23"/>
      <c r="B864" s="43"/>
      <c r="C864" s="43"/>
    </row>
    <row r="865">
      <c r="A865" s="23"/>
      <c r="B865" s="43"/>
      <c r="C865" s="43"/>
    </row>
    <row r="866">
      <c r="A866" s="23"/>
      <c r="B866" s="43"/>
      <c r="C866" s="43"/>
    </row>
    <row r="867">
      <c r="A867" s="23"/>
      <c r="B867" s="43"/>
      <c r="C867" s="43"/>
    </row>
    <row r="868">
      <c r="A868" s="23"/>
      <c r="B868" s="43"/>
      <c r="C868" s="43"/>
    </row>
    <row r="869">
      <c r="A869" s="23"/>
      <c r="B869" s="43"/>
      <c r="C869" s="43"/>
    </row>
    <row r="870">
      <c r="A870" s="23"/>
      <c r="B870" s="43"/>
      <c r="C870" s="43"/>
    </row>
    <row r="871">
      <c r="A871" s="23"/>
      <c r="B871" s="43"/>
      <c r="C871" s="43"/>
    </row>
    <row r="872">
      <c r="A872" s="23"/>
      <c r="B872" s="43"/>
      <c r="C872" s="43"/>
    </row>
    <row r="873">
      <c r="A873" s="23"/>
      <c r="B873" s="43"/>
      <c r="C873" s="43"/>
    </row>
    <row r="874">
      <c r="A874" s="23"/>
      <c r="B874" s="43"/>
      <c r="C874" s="43"/>
    </row>
    <row r="875">
      <c r="A875" s="23"/>
      <c r="B875" s="43"/>
      <c r="C875" s="43"/>
    </row>
    <row r="876">
      <c r="A876" s="23"/>
      <c r="B876" s="43"/>
      <c r="C876" s="43"/>
    </row>
    <row r="877">
      <c r="A877" s="23"/>
      <c r="B877" s="43"/>
      <c r="C877" s="43"/>
    </row>
    <row r="878">
      <c r="A878" s="23"/>
      <c r="B878" s="43"/>
      <c r="C878" s="43"/>
    </row>
    <row r="879">
      <c r="A879" s="23"/>
      <c r="B879" s="43"/>
      <c r="C879" s="43"/>
    </row>
    <row r="880">
      <c r="A880" s="23"/>
      <c r="B880" s="43"/>
      <c r="C880" s="43"/>
    </row>
    <row r="881">
      <c r="A881" s="23"/>
      <c r="B881" s="43"/>
      <c r="C881" s="43"/>
    </row>
    <row r="882">
      <c r="A882" s="23"/>
      <c r="B882" s="43"/>
      <c r="C882" s="43"/>
    </row>
    <row r="883">
      <c r="A883" s="23"/>
      <c r="B883" s="43"/>
      <c r="C883" s="43"/>
    </row>
    <row r="884">
      <c r="A884" s="23"/>
      <c r="B884" s="43"/>
      <c r="C884" s="43"/>
    </row>
    <row r="885">
      <c r="A885" s="23"/>
      <c r="B885" s="43"/>
      <c r="C885" s="43"/>
    </row>
    <row r="886">
      <c r="A886" s="23"/>
      <c r="B886" s="43"/>
      <c r="C886" s="43"/>
    </row>
    <row r="887">
      <c r="A887" s="23"/>
      <c r="B887" s="43"/>
      <c r="C887" s="43"/>
    </row>
    <row r="888">
      <c r="A888" s="23"/>
      <c r="B888" s="43"/>
      <c r="C888" s="43"/>
    </row>
    <row r="889">
      <c r="A889" s="23"/>
      <c r="B889" s="43"/>
      <c r="C889" s="43"/>
    </row>
    <row r="890">
      <c r="A890" s="23"/>
      <c r="B890" s="43"/>
      <c r="C890" s="43"/>
    </row>
    <row r="891">
      <c r="A891" s="23"/>
      <c r="B891" s="43"/>
      <c r="C891" s="43"/>
    </row>
    <row r="892">
      <c r="A892" s="23"/>
      <c r="B892" s="43"/>
      <c r="C892" s="43"/>
    </row>
    <row r="893">
      <c r="A893" s="23"/>
      <c r="B893" s="43"/>
      <c r="C893" s="43"/>
    </row>
    <row r="894">
      <c r="A894" s="23"/>
      <c r="B894" s="43"/>
      <c r="C894" s="43"/>
    </row>
    <row r="895">
      <c r="A895" s="23"/>
      <c r="B895" s="43"/>
      <c r="C895" s="43"/>
    </row>
    <row r="896">
      <c r="A896" s="23"/>
      <c r="B896" s="43"/>
      <c r="C896" s="43"/>
    </row>
    <row r="897">
      <c r="A897" s="23"/>
      <c r="B897" s="43"/>
      <c r="C897" s="43"/>
    </row>
    <row r="898">
      <c r="A898" s="23"/>
      <c r="B898" s="43"/>
      <c r="C898" s="43"/>
    </row>
    <row r="899">
      <c r="A899" s="23"/>
      <c r="B899" s="43"/>
      <c r="C899" s="43"/>
    </row>
    <row r="900">
      <c r="A900" s="23"/>
      <c r="B900" s="43"/>
      <c r="C900" s="43"/>
    </row>
    <row r="901">
      <c r="A901" s="23"/>
      <c r="B901" s="43"/>
      <c r="C901" s="43"/>
    </row>
    <row r="902">
      <c r="A902" s="23"/>
      <c r="B902" s="43"/>
      <c r="C902" s="43"/>
    </row>
    <row r="903">
      <c r="A903" s="23"/>
      <c r="B903" s="43"/>
      <c r="C903" s="43"/>
    </row>
    <row r="904">
      <c r="A904" s="23"/>
      <c r="B904" s="43"/>
      <c r="C904" s="43"/>
    </row>
    <row r="905">
      <c r="A905" s="23"/>
      <c r="B905" s="43"/>
      <c r="C905" s="43"/>
    </row>
    <row r="906">
      <c r="A906" s="23"/>
      <c r="B906" s="43"/>
      <c r="C906" s="43"/>
    </row>
    <row r="907">
      <c r="A907" s="23"/>
      <c r="B907" s="43"/>
      <c r="C907" s="43"/>
    </row>
    <row r="908">
      <c r="A908" s="23"/>
      <c r="B908" s="43"/>
      <c r="C908" s="43"/>
    </row>
    <row r="909">
      <c r="A909" s="23"/>
      <c r="B909" s="43"/>
      <c r="C909" s="43"/>
    </row>
    <row r="910">
      <c r="A910" s="23"/>
      <c r="B910" s="43"/>
      <c r="C910" s="43"/>
    </row>
    <row r="911">
      <c r="A911" s="23"/>
      <c r="B911" s="43"/>
      <c r="C911" s="43"/>
    </row>
    <row r="912">
      <c r="A912" s="23"/>
      <c r="B912" s="43"/>
      <c r="C912" s="43"/>
    </row>
    <row r="913">
      <c r="A913" s="23"/>
      <c r="B913" s="43"/>
      <c r="C913" s="43"/>
    </row>
    <row r="914">
      <c r="A914" s="23"/>
      <c r="B914" s="43"/>
      <c r="C914" s="43"/>
    </row>
    <row r="915">
      <c r="A915" s="23"/>
      <c r="B915" s="43"/>
      <c r="C915" s="43"/>
    </row>
    <row r="916">
      <c r="A916" s="23"/>
      <c r="B916" s="43"/>
      <c r="C916" s="43"/>
    </row>
    <row r="917">
      <c r="A917" s="23"/>
      <c r="B917" s="43"/>
      <c r="C917" s="43"/>
    </row>
    <row r="918">
      <c r="A918" s="23"/>
      <c r="B918" s="43"/>
      <c r="C918" s="43"/>
    </row>
    <row r="919">
      <c r="A919" s="23"/>
      <c r="B919" s="43"/>
      <c r="C919" s="43"/>
    </row>
    <row r="920">
      <c r="A920" s="23"/>
      <c r="B920" s="43"/>
      <c r="C920" s="43"/>
    </row>
    <row r="921">
      <c r="A921" s="23"/>
      <c r="B921" s="43"/>
      <c r="C921" s="43"/>
    </row>
    <row r="922">
      <c r="A922" s="23"/>
      <c r="B922" s="43"/>
      <c r="C922" s="43"/>
    </row>
    <row r="923">
      <c r="A923" s="23"/>
      <c r="B923" s="43"/>
      <c r="C923" s="43"/>
    </row>
    <row r="924">
      <c r="A924" s="23"/>
      <c r="B924" s="43"/>
      <c r="C924" s="43"/>
    </row>
    <row r="925">
      <c r="A925" s="23"/>
      <c r="B925" s="43"/>
      <c r="C925" s="43"/>
    </row>
    <row r="926">
      <c r="A926" s="23"/>
      <c r="B926" s="43"/>
      <c r="C926" s="43"/>
    </row>
    <row r="927">
      <c r="A927" s="23"/>
      <c r="B927" s="43"/>
      <c r="C927" s="43"/>
    </row>
    <row r="928">
      <c r="A928" s="23"/>
      <c r="B928" s="43"/>
      <c r="C928" s="43"/>
    </row>
    <row r="929">
      <c r="A929" s="23"/>
      <c r="B929" s="43"/>
      <c r="C929" s="43"/>
    </row>
    <row r="930">
      <c r="A930" s="23"/>
      <c r="B930" s="43"/>
      <c r="C930" s="43"/>
    </row>
    <row r="931">
      <c r="A931" s="23"/>
      <c r="B931" s="43"/>
      <c r="C931" s="43"/>
    </row>
    <row r="932">
      <c r="A932" s="23"/>
      <c r="B932" s="43"/>
      <c r="C932" s="43"/>
    </row>
    <row r="933">
      <c r="A933" s="23"/>
      <c r="B933" s="43"/>
      <c r="C933" s="43"/>
    </row>
    <row r="934">
      <c r="A934" s="23"/>
      <c r="B934" s="43"/>
      <c r="C934" s="43"/>
    </row>
    <row r="935">
      <c r="A935" s="23"/>
      <c r="B935" s="43"/>
      <c r="C935" s="43"/>
    </row>
    <row r="936">
      <c r="A936" s="23"/>
      <c r="B936" s="43"/>
      <c r="C936" s="43"/>
    </row>
    <row r="937">
      <c r="A937" s="23"/>
      <c r="B937" s="43"/>
      <c r="C937" s="43"/>
    </row>
    <row r="938">
      <c r="A938" s="23"/>
      <c r="B938" s="43"/>
      <c r="C938" s="43"/>
    </row>
    <row r="939">
      <c r="A939" s="23"/>
      <c r="B939" s="43"/>
      <c r="C939" s="43"/>
    </row>
    <row r="940">
      <c r="A940" s="23"/>
      <c r="B940" s="43"/>
      <c r="C940" s="43"/>
    </row>
    <row r="941">
      <c r="A941" s="23"/>
      <c r="B941" s="43"/>
      <c r="C941" s="43"/>
    </row>
    <row r="942">
      <c r="A942" s="23"/>
      <c r="B942" s="43"/>
      <c r="C942" s="43"/>
    </row>
    <row r="943">
      <c r="A943" s="23"/>
      <c r="B943" s="43"/>
      <c r="C943" s="43"/>
    </row>
    <row r="944">
      <c r="A944" s="23"/>
      <c r="B944" s="43"/>
      <c r="C944" s="43"/>
    </row>
    <row r="945">
      <c r="A945" s="23"/>
      <c r="B945" s="43"/>
      <c r="C945" s="43"/>
    </row>
    <row r="946">
      <c r="A946" s="23"/>
      <c r="B946" s="43"/>
      <c r="C946" s="43"/>
    </row>
    <row r="947">
      <c r="A947" s="23"/>
      <c r="B947" s="43"/>
      <c r="C947" s="43"/>
    </row>
    <row r="948">
      <c r="A948" s="23"/>
      <c r="B948" s="43"/>
      <c r="C948" s="43"/>
    </row>
    <row r="949">
      <c r="A949" s="23"/>
      <c r="B949" s="43"/>
      <c r="C949" s="43"/>
    </row>
    <row r="950">
      <c r="A950" s="23"/>
      <c r="B950" s="43"/>
      <c r="C950" s="43"/>
    </row>
    <row r="951">
      <c r="A951" s="23"/>
      <c r="B951" s="43"/>
      <c r="C951" s="43"/>
    </row>
    <row r="952">
      <c r="A952" s="23"/>
      <c r="B952" s="43"/>
      <c r="C952" s="43"/>
    </row>
    <row r="953">
      <c r="A953" s="23"/>
      <c r="B953" s="43"/>
      <c r="C953" s="43"/>
    </row>
    <row r="954">
      <c r="A954" s="23"/>
      <c r="B954" s="43"/>
      <c r="C954" s="43"/>
    </row>
    <row r="955">
      <c r="A955" s="23"/>
      <c r="B955" s="43"/>
      <c r="C955" s="43"/>
    </row>
    <row r="956">
      <c r="A956" s="23"/>
      <c r="B956" s="43"/>
      <c r="C956" s="43"/>
    </row>
    <row r="957">
      <c r="A957" s="23"/>
      <c r="B957" s="43"/>
      <c r="C957" s="43"/>
    </row>
    <row r="958">
      <c r="A958" s="23"/>
      <c r="B958" s="43"/>
      <c r="C958" s="43"/>
    </row>
    <row r="959">
      <c r="A959" s="23"/>
      <c r="B959" s="43"/>
      <c r="C959" s="43"/>
    </row>
    <row r="960">
      <c r="A960" s="23"/>
      <c r="B960" s="43"/>
      <c r="C960" s="43"/>
    </row>
    <row r="961">
      <c r="A961" s="23"/>
      <c r="B961" s="43"/>
      <c r="C961" s="43"/>
    </row>
    <row r="962">
      <c r="A962" s="23"/>
      <c r="B962" s="43"/>
      <c r="C962" s="43"/>
    </row>
    <row r="963">
      <c r="A963" s="23"/>
      <c r="B963" s="43"/>
      <c r="C963" s="43"/>
    </row>
    <row r="964">
      <c r="A964" s="23"/>
      <c r="B964" s="43"/>
      <c r="C964" s="43"/>
    </row>
    <row r="965">
      <c r="A965" s="23"/>
      <c r="B965" s="43"/>
      <c r="C965" s="43"/>
    </row>
    <row r="966">
      <c r="A966" s="23"/>
      <c r="B966" s="43"/>
      <c r="C966" s="43"/>
    </row>
    <row r="967">
      <c r="A967" s="23"/>
      <c r="B967" s="43"/>
      <c r="C967" s="43"/>
    </row>
    <row r="968">
      <c r="A968" s="23"/>
      <c r="B968" s="43"/>
      <c r="C968" s="43"/>
    </row>
    <row r="969">
      <c r="A969" s="23"/>
      <c r="B969" s="43"/>
      <c r="C969" s="43"/>
    </row>
    <row r="970">
      <c r="A970" s="23"/>
      <c r="B970" s="43"/>
      <c r="C970" s="43"/>
    </row>
    <row r="971">
      <c r="A971" s="23"/>
      <c r="B971" s="43"/>
      <c r="C971" s="43"/>
    </row>
    <row r="972">
      <c r="A972" s="23"/>
      <c r="B972" s="43"/>
      <c r="C972" s="43"/>
    </row>
    <row r="973">
      <c r="A973" s="23"/>
      <c r="B973" s="43"/>
      <c r="C973" s="43"/>
    </row>
    <row r="974">
      <c r="A974" s="23"/>
      <c r="B974" s="43"/>
      <c r="C974" s="43"/>
    </row>
    <row r="975">
      <c r="A975" s="23"/>
      <c r="B975" s="43"/>
      <c r="C975" s="43"/>
    </row>
    <row r="976">
      <c r="A976" s="23"/>
      <c r="B976" s="43"/>
      <c r="C976" s="43"/>
    </row>
    <row r="977">
      <c r="A977" s="23"/>
      <c r="B977" s="43"/>
      <c r="C977" s="43"/>
    </row>
    <row r="978">
      <c r="A978" s="23"/>
      <c r="B978" s="43"/>
      <c r="C978" s="43"/>
    </row>
    <row r="979">
      <c r="A979" s="23"/>
      <c r="B979" s="43"/>
      <c r="C979" s="43"/>
    </row>
    <row r="980">
      <c r="A980" s="23"/>
      <c r="B980" s="43"/>
      <c r="C980" s="43"/>
    </row>
    <row r="981">
      <c r="A981" s="23"/>
      <c r="B981" s="43"/>
      <c r="C981" s="43"/>
    </row>
    <row r="982">
      <c r="A982" s="23"/>
      <c r="B982" s="43"/>
      <c r="C982" s="43"/>
    </row>
    <row r="983">
      <c r="A983" s="23"/>
      <c r="B983" s="43"/>
      <c r="C983" s="43"/>
    </row>
    <row r="984">
      <c r="A984" s="23"/>
      <c r="B984" s="43"/>
      <c r="C984" s="43"/>
    </row>
    <row r="985">
      <c r="A985" s="23"/>
      <c r="B985" s="43"/>
      <c r="C985" s="43"/>
    </row>
    <row r="986">
      <c r="A986" s="23"/>
      <c r="B986" s="43"/>
      <c r="C986" s="43"/>
    </row>
    <row r="987">
      <c r="A987" s="23"/>
      <c r="B987" s="43"/>
      <c r="C987" s="43"/>
    </row>
    <row r="988">
      <c r="A988" s="23"/>
      <c r="B988" s="43"/>
      <c r="C988" s="43"/>
    </row>
    <row r="989">
      <c r="A989" s="23"/>
      <c r="B989" s="43"/>
      <c r="C989" s="43"/>
    </row>
    <row r="990">
      <c r="A990" s="23"/>
      <c r="B990" s="43"/>
      <c r="C990" s="43"/>
    </row>
    <row r="991">
      <c r="A991" s="23"/>
      <c r="B991" s="43"/>
      <c r="C991" s="43"/>
    </row>
    <row r="992">
      <c r="A992" s="23"/>
      <c r="B992" s="43"/>
      <c r="C992" s="43"/>
    </row>
    <row r="993">
      <c r="A993" s="23"/>
      <c r="B993" s="43"/>
      <c r="C993" s="43"/>
    </row>
    <row r="994">
      <c r="A994" s="23"/>
      <c r="B994" s="43"/>
      <c r="C994" s="43"/>
    </row>
    <row r="995">
      <c r="A995" s="23"/>
      <c r="B995" s="43"/>
      <c r="C995" s="43"/>
    </row>
    <row r="996">
      <c r="A996" s="23"/>
      <c r="B996" s="43"/>
      <c r="C996" s="43"/>
    </row>
    <row r="997">
      <c r="A997" s="23"/>
      <c r="B997" s="43"/>
      <c r="C997" s="43"/>
    </row>
    <row r="998">
      <c r="A998" s="23"/>
      <c r="B998" s="43"/>
      <c r="C998" s="43"/>
    </row>
    <row r="999">
      <c r="A999" s="23"/>
      <c r="B999" s="43"/>
      <c r="C999" s="43"/>
    </row>
    <row r="1000">
      <c r="A1000" s="23"/>
      <c r="B1000" s="43"/>
      <c r="C1000" s="4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</cols>
  <sheetData>
    <row r="1">
      <c r="A1" s="1" t="s">
        <v>0</v>
      </c>
      <c r="B1" s="35" t="s">
        <v>26</v>
      </c>
      <c r="C1" s="38" t="s">
        <v>25</v>
      </c>
    </row>
    <row r="2">
      <c r="A2" s="7">
        <v>46091.0</v>
      </c>
      <c r="B2" s="43">
        <f>VLOOKUP(A2,'Return prepared data'!A:L,6,0)</f>
        <v>0.004994173464</v>
      </c>
      <c r="C2" s="43">
        <f>VLOOKUP(A2,'Return prepared data'!A:H,8,0)</f>
        <v>-0.0021350826</v>
      </c>
    </row>
    <row r="3">
      <c r="A3" s="13">
        <v>46090.0</v>
      </c>
      <c r="B3" s="43">
        <f>VLOOKUP(A3,'Return prepared data'!A:L,6,0)</f>
        <v>-0.005381240169</v>
      </c>
      <c r="C3" s="43">
        <f>VLOOKUP(A3,'Return prepared data'!A:H,8,0)</f>
        <v>0.008304129661</v>
      </c>
    </row>
    <row r="4">
      <c r="A4" s="7">
        <v>46083.0</v>
      </c>
      <c r="B4" s="43">
        <f>VLOOKUP(A4,'Return prepared data'!A:L,6,0)</f>
        <v>0.06151682925</v>
      </c>
      <c r="C4" s="43">
        <f>VLOOKUP(A4,'Return prepared data'!A:H,8,0)</f>
        <v>-0.0201864257</v>
      </c>
      <c r="I4" s="3" t="s">
        <v>84</v>
      </c>
    </row>
    <row r="5">
      <c r="A5" s="13">
        <v>46076.0</v>
      </c>
      <c r="B5" s="43">
        <f>VLOOKUP(A5,'Return prepared data'!A:L,6,0)</f>
        <v>-0.02485217242</v>
      </c>
      <c r="C5" s="43">
        <f>VLOOKUP(A5,'Return prepared data'!A:H,8,0)</f>
        <v>-0.004433020576</v>
      </c>
    </row>
    <row r="6">
      <c r="A6" s="7">
        <v>46069.0</v>
      </c>
      <c r="B6" s="43">
        <f>VLOOKUP(A6,'Return prepared data'!A:L,6,0)</f>
        <v>0.01832620648</v>
      </c>
      <c r="C6" s="43">
        <f>VLOOKUP(A6,'Return prepared data'!A:H,8,0)</f>
        <v>0.0107282294</v>
      </c>
      <c r="I6" s="62" t="s">
        <v>85</v>
      </c>
      <c r="J6" s="63"/>
    </row>
    <row r="7">
      <c r="A7" s="13">
        <v>46062.0</v>
      </c>
      <c r="B7" s="43">
        <f>VLOOKUP(A7,'Return prepared data'!A:L,6,0)</f>
        <v>0.001748404581</v>
      </c>
      <c r="C7" s="43">
        <f>VLOOKUP(A7,'Return prepared data'!A:H,8,0)</f>
        <v>-0.01386697056</v>
      </c>
      <c r="I7" s="62" t="s">
        <v>86</v>
      </c>
      <c r="J7" s="64">
        <v>4.2398626E7</v>
      </c>
    </row>
    <row r="8">
      <c r="A8" s="7">
        <v>46055.0</v>
      </c>
      <c r="B8" s="43">
        <f>VLOOKUP(A8,'Return prepared data'!A:L,6,0)</f>
        <v>0.09558471411</v>
      </c>
      <c r="C8" s="43">
        <f>VLOOKUP(A8,'Return prepared data'!A:H,8,0)</f>
        <v>-0.0009698761931</v>
      </c>
      <c r="I8" s="62" t="s">
        <v>87</v>
      </c>
      <c r="J8" s="64">
        <v>1.7976435E7</v>
      </c>
    </row>
    <row r="9">
      <c r="A9" s="13">
        <v>46048.0</v>
      </c>
      <c r="B9" s="43">
        <f>VLOOKUP(A9,'Return prepared data'!A:L,6,0)</f>
        <v>-0.02429679469</v>
      </c>
      <c r="C9" s="43">
        <f>VLOOKUP(A9,'Return prepared data'!A:H,8,0)</f>
        <v>0.003386541462</v>
      </c>
      <c r="I9" s="62" t="s">
        <v>88</v>
      </c>
      <c r="J9" s="64">
        <v>1.6399059E7</v>
      </c>
    </row>
    <row r="10">
      <c r="A10" s="7">
        <v>46041.0</v>
      </c>
      <c r="B10" s="43">
        <f>VLOOKUP(A10,'Return prepared data'!A:L,6,0)</f>
        <v>-0.02859477124</v>
      </c>
      <c r="C10" s="43">
        <f>VLOOKUP(A10,'Return prepared data'!A:H,8,0)</f>
        <v>-0.003515845078</v>
      </c>
      <c r="I10" s="62" t="s">
        <v>89</v>
      </c>
      <c r="J10" s="64">
        <v>3080973.0</v>
      </c>
    </row>
    <row r="11">
      <c r="A11" s="13">
        <v>46034.0</v>
      </c>
      <c r="B11" s="43">
        <f>VLOOKUP(A11,'Return prepared data'!A:L,6,0)</f>
        <v>0.05456634118</v>
      </c>
      <c r="C11" s="43">
        <f>VLOOKUP(A11,'Return prepared data'!A:H,8,0)</f>
        <v>-0.003771022698</v>
      </c>
      <c r="I11" s="62" t="s">
        <v>90</v>
      </c>
      <c r="J11" s="62">
        <v>54.0</v>
      </c>
    </row>
    <row r="12">
      <c r="A12" s="7">
        <v>46027.0</v>
      </c>
      <c r="B12" s="43">
        <f>VLOOKUP(A12,'Return prepared data'!A:L,6,0)</f>
        <v>0.04984924623</v>
      </c>
      <c r="C12" s="43">
        <f>VLOOKUP(A12,'Return prepared data'!A:H,8,0)</f>
        <v>0.01571924934</v>
      </c>
      <c r="N12" s="63"/>
    </row>
    <row r="13">
      <c r="A13" s="13">
        <v>46020.0</v>
      </c>
      <c r="B13" s="43">
        <f>VLOOKUP(A13,'Return prepared data'!A:L,6,0)</f>
        <v>0.009639776763</v>
      </c>
      <c r="C13" s="43">
        <f>VLOOKUP(A13,'Return prepared data'!A:H,8,0)</f>
        <v>-0.01031322061</v>
      </c>
      <c r="I13" s="62" t="s">
        <v>91</v>
      </c>
      <c r="J13" s="63"/>
      <c r="K13" s="63"/>
      <c r="L13" s="63"/>
      <c r="M13" s="63"/>
      <c r="N13" s="63"/>
    </row>
    <row r="14">
      <c r="A14" s="7">
        <v>46013.0</v>
      </c>
      <c r="B14" s="43">
        <f>VLOOKUP(A14,'Return prepared data'!A:L,6,0)</f>
        <v>0.01576994434</v>
      </c>
      <c r="C14" s="43">
        <f>VLOOKUP(A14,'Return prepared data'!A:H,8,0)</f>
        <v>0.01396444509</v>
      </c>
      <c r="I14" s="63"/>
      <c r="J14" s="62" t="s">
        <v>92</v>
      </c>
      <c r="K14" s="62" t="s">
        <v>93</v>
      </c>
      <c r="L14" s="62" t="s">
        <v>94</v>
      </c>
      <c r="M14" s="62" t="s">
        <v>95</v>
      </c>
      <c r="N14" s="62" t="s">
        <v>96</v>
      </c>
    </row>
    <row r="15">
      <c r="A15" s="13">
        <v>46006.0</v>
      </c>
      <c r="B15" s="43">
        <f>VLOOKUP(A15,'Return prepared data'!A:L,6,0)</f>
        <v>0.009468317553</v>
      </c>
      <c r="C15" s="43">
        <f>VLOOKUP(A15,'Return prepared data'!A:H,8,0)</f>
        <v>0.001038461144</v>
      </c>
      <c r="I15" s="62" t="s">
        <v>97</v>
      </c>
      <c r="J15" s="62">
        <v>1.0</v>
      </c>
      <c r="K15" s="64">
        <v>1081793.0</v>
      </c>
      <c r="L15" s="64">
        <v>1081793.0</v>
      </c>
      <c r="M15" s="64">
        <v>1.13964153E8</v>
      </c>
      <c r="N15" s="64">
        <v>139868.0</v>
      </c>
    </row>
    <row r="16">
      <c r="A16" s="7">
        <v>45999.0</v>
      </c>
      <c r="B16" s="43">
        <f>VLOOKUP(A16,'Return prepared data'!A:L,6,0)</f>
        <v>0.05314486084</v>
      </c>
      <c r="C16" s="43">
        <f>VLOOKUP(A16,'Return prepared data'!A:H,8,0)</f>
        <v>-0.006257277597</v>
      </c>
      <c r="I16" s="62" t="s">
        <v>98</v>
      </c>
      <c r="J16" s="62">
        <v>52.0</v>
      </c>
      <c r="K16" s="64">
        <v>4936047.0</v>
      </c>
      <c r="L16" s="64">
        <v>94924.0</v>
      </c>
      <c r="M16" s="63"/>
      <c r="N16" s="63"/>
    </row>
    <row r="17">
      <c r="A17" s="13">
        <v>45992.0</v>
      </c>
      <c r="B17" s="43">
        <f>VLOOKUP(A17,'Return prepared data'!A:L,6,0)</f>
        <v>0.01727789544</v>
      </c>
      <c r="C17" s="43">
        <f>VLOOKUP(A17,'Return prepared data'!A:H,8,0)</f>
        <v>0.003111362239</v>
      </c>
      <c r="I17" s="62" t="s">
        <v>99</v>
      </c>
      <c r="J17" s="62">
        <v>53.0</v>
      </c>
      <c r="K17" s="64">
        <v>601784.0</v>
      </c>
      <c r="L17" s="63"/>
      <c r="M17" s="63"/>
      <c r="N17" s="63"/>
    </row>
    <row r="18">
      <c r="A18" s="7">
        <v>45985.0</v>
      </c>
      <c r="B18" s="43">
        <f>VLOOKUP(A18,'Return prepared data'!A:L,6,0)</f>
        <v>0.03424025824</v>
      </c>
      <c r="C18" s="43">
        <f>VLOOKUP(A18,'Return prepared data'!A:H,8,0)</f>
        <v>0.0372709939</v>
      </c>
      <c r="I18" s="63"/>
      <c r="J18" s="63"/>
      <c r="K18" s="63"/>
      <c r="L18" s="63"/>
      <c r="M18" s="63"/>
      <c r="N18" s="63"/>
    </row>
    <row r="19">
      <c r="A19" s="13">
        <v>45978.0</v>
      </c>
      <c r="B19" s="43">
        <f>VLOOKUP(A19,'Return prepared data'!A:L,6,0)</f>
        <v>-0.01308453749</v>
      </c>
      <c r="C19" s="43">
        <f>VLOOKUP(A19,'Return prepared data'!A:H,8,0)</f>
        <v>-0.01947102141</v>
      </c>
      <c r="I19" s="63"/>
      <c r="J19" s="62" t="s">
        <v>100</v>
      </c>
      <c r="K19" s="62" t="s">
        <v>89</v>
      </c>
      <c r="L19" s="62" t="s">
        <v>101</v>
      </c>
      <c r="M19" s="62" t="s">
        <v>102</v>
      </c>
      <c r="N19" s="62" t="s">
        <v>103</v>
      </c>
      <c r="O19" s="62" t="s">
        <v>104</v>
      </c>
      <c r="P19" s="62" t="s">
        <v>105</v>
      </c>
      <c r="Q19" s="62" t="s">
        <v>106</v>
      </c>
    </row>
    <row r="20">
      <c r="A20" s="7">
        <v>45971.0</v>
      </c>
      <c r="B20" s="43">
        <f>VLOOKUP(A20,'Return prepared data'!A:L,6,0)</f>
        <v>-0.01468609865</v>
      </c>
      <c r="C20" s="43">
        <f>VLOOKUP(A20,'Return prepared data'!A:H,8,0)</f>
        <v>0.000789145167</v>
      </c>
      <c r="I20" s="62" t="s">
        <v>107</v>
      </c>
      <c r="J20" s="64">
        <v>16859.0</v>
      </c>
      <c r="K20" s="64">
        <v>424967.0</v>
      </c>
      <c r="L20" s="64">
        <v>3.9671425E7</v>
      </c>
      <c r="M20" s="64">
        <v>6.9320167E7</v>
      </c>
      <c r="N20" s="64">
        <v>-68417.0</v>
      </c>
      <c r="O20" s="64">
        <v>1021349.0</v>
      </c>
      <c r="P20" s="64">
        <v>-68417.0</v>
      </c>
      <c r="Q20" s="64">
        <v>1021349.0</v>
      </c>
    </row>
    <row r="21">
      <c r="A21" s="13">
        <v>45964.0</v>
      </c>
      <c r="B21" s="43">
        <f>VLOOKUP(A21,'Return prepared data'!A:L,6,0)</f>
        <v>-0.0158870256</v>
      </c>
      <c r="C21" s="43">
        <f>VLOOKUP(A21,'Return prepared data'!A:H,8,0)</f>
        <v>-0.01628607351</v>
      </c>
      <c r="I21" s="62" t="s">
        <v>108</v>
      </c>
      <c r="J21" s="64">
        <v>6378217.0</v>
      </c>
      <c r="K21" s="64">
        <v>1.8893619E7</v>
      </c>
      <c r="L21" s="64">
        <v>3.37585771E8</v>
      </c>
      <c r="M21" s="64">
        <v>139868.0</v>
      </c>
      <c r="N21" s="64">
        <v>2586935.0</v>
      </c>
      <c r="O21" s="64">
        <v>1.01694991E8</v>
      </c>
      <c r="P21" s="64">
        <v>2586935.0</v>
      </c>
      <c r="Q21" s="64">
        <v>1.01694991E8</v>
      </c>
    </row>
    <row r="22">
      <c r="A22" s="7">
        <v>45957.0</v>
      </c>
      <c r="B22" s="43">
        <f>VLOOKUP(A22,'Return prepared data'!A:L,6,0)</f>
        <v>-0.01638632664</v>
      </c>
      <c r="C22" s="43">
        <f>VLOOKUP(A22,'Return prepared data'!A:H,8,0)</f>
        <v>0.007142552148</v>
      </c>
    </row>
    <row r="23">
      <c r="A23" s="13">
        <v>45950.0</v>
      </c>
      <c r="B23" s="43">
        <f>VLOOKUP(A23,'Return prepared data'!A:L,6,0)</f>
        <v>0.03760837743</v>
      </c>
      <c r="C23" s="43">
        <f>VLOOKUP(A23,'Return prepared data'!A:H,8,0)</f>
        <v>0.01915963511</v>
      </c>
    </row>
    <row r="24">
      <c r="A24" s="7">
        <v>45943.0</v>
      </c>
      <c r="B24" s="43">
        <f>VLOOKUP(A24,'Return prepared data'!A:L,6,0)</f>
        <v>0.06219351752</v>
      </c>
      <c r="C24" s="43">
        <f>VLOOKUP(A24,'Return prepared data'!A:H,8,0)</f>
        <v>0.01701637998</v>
      </c>
    </row>
    <row r="25">
      <c r="A25" s="13">
        <v>45936.0</v>
      </c>
      <c r="B25" s="43">
        <f>VLOOKUP(A25,'Return prepared data'!A:L,6,0)</f>
        <v>-0.03940716912</v>
      </c>
      <c r="C25" s="43">
        <f>VLOOKUP(A25,'Return prepared data'!A:H,8,0)</f>
        <v>-0.02431285076</v>
      </c>
    </row>
    <row r="26">
      <c r="A26" s="7">
        <v>45929.0</v>
      </c>
      <c r="B26" s="43">
        <f>VLOOKUP(A26,'Return prepared data'!A:L,6,0)</f>
        <v>0.01350721938</v>
      </c>
      <c r="C26" s="43">
        <f>VLOOKUP(A26,'Return prepared data'!A:H,8,0)</f>
        <v>0.01085088129</v>
      </c>
    </row>
    <row r="27">
      <c r="A27" s="13">
        <v>45922.0</v>
      </c>
      <c r="B27" s="43">
        <f>VLOOKUP(A27,'Return prepared data'!A:L,6,0)</f>
        <v>-0.003249767874</v>
      </c>
      <c r="C27" s="43">
        <f>VLOOKUP(A27,'Return prepared data'!A:H,8,0)</f>
        <v>-0.003100072625</v>
      </c>
    </row>
    <row r="28">
      <c r="A28" s="7">
        <v>45915.0</v>
      </c>
      <c r="B28" s="43">
        <f>VLOOKUP(A28,'Return prepared data'!A:L,6,0)</f>
        <v>-0.020352473</v>
      </c>
      <c r="C28" s="43">
        <f>VLOOKUP(A28,'Return prepared data'!A:H,8,0)</f>
        <v>0.01216076449</v>
      </c>
    </row>
    <row r="29">
      <c r="A29" s="13">
        <v>45908.0</v>
      </c>
      <c r="B29" s="43">
        <f>VLOOKUP(A29,'Return prepared data'!A:L,6,0)</f>
        <v>-0.03436539306</v>
      </c>
      <c r="C29" s="43">
        <f>VLOOKUP(A29,'Return prepared data'!A:H,8,0)</f>
        <v>0.01585898326</v>
      </c>
    </row>
    <row r="30">
      <c r="A30" s="7">
        <v>45901.0</v>
      </c>
      <c r="B30" s="43">
        <f>VLOOKUP(A30,'Return prepared data'!A:L,6,0)</f>
        <v>-0.02930832356</v>
      </c>
      <c r="C30" s="43">
        <f>VLOOKUP(A30,'Return prepared data'!A:H,8,0)</f>
        <v>0.003287793371</v>
      </c>
    </row>
    <row r="31">
      <c r="A31" s="13">
        <v>45894.0</v>
      </c>
      <c r="B31" s="43">
        <f>VLOOKUP(A31,'Return prepared data'!A:L,6,0)</f>
        <v>-0.03287981859</v>
      </c>
      <c r="C31" s="43">
        <f>VLOOKUP(A31,'Return prepared data'!A:H,8,0)</f>
        <v>-0.001028311821</v>
      </c>
    </row>
    <row r="32">
      <c r="A32" s="7">
        <v>45887.0</v>
      </c>
      <c r="B32" s="43">
        <f>VLOOKUP(A32,'Return prepared data'!A:L,6,0)</f>
        <v>-0.02619692864</v>
      </c>
      <c r="C32" s="43">
        <f>VLOOKUP(A32,'Return prepared data'!A:H,8,0)</f>
        <v>0.002652795436</v>
      </c>
    </row>
    <row r="33">
      <c r="A33" s="13">
        <v>45880.0</v>
      </c>
      <c r="B33" s="43">
        <f>VLOOKUP(A33,'Return prepared data'!A:L,6,0)</f>
        <v>-0.02256450505</v>
      </c>
      <c r="C33" s="43">
        <f>VLOOKUP(A33,'Return prepared data'!A:H,8,0)</f>
        <v>0.009445257417</v>
      </c>
    </row>
    <row r="34">
      <c r="A34" s="7">
        <v>45873.0</v>
      </c>
      <c r="B34" s="43">
        <f>VLOOKUP(A34,'Return prepared data'!A:L,6,0)</f>
        <v>0.05637889937</v>
      </c>
      <c r="C34" s="43">
        <f>VLOOKUP(A34,'Return prepared data'!A:H,8,0)</f>
        <v>0.02427697294</v>
      </c>
    </row>
    <row r="35">
      <c r="A35" s="13">
        <v>45866.0</v>
      </c>
      <c r="B35" s="43">
        <f>VLOOKUP(A35,'Return prepared data'!A:L,6,0)</f>
        <v>-0.05918486739</v>
      </c>
      <c r="C35" s="43">
        <f>VLOOKUP(A35,'Return prepared data'!A:H,8,0)</f>
        <v>-0.02357778807</v>
      </c>
    </row>
    <row r="36">
      <c r="A36" s="7">
        <v>45859.0</v>
      </c>
      <c r="B36" s="43">
        <f>VLOOKUP(A36,'Return prepared data'!A:L,6,0)</f>
        <v>0.02498500899</v>
      </c>
      <c r="C36" s="43">
        <f>VLOOKUP(A36,'Return prepared data'!A:H,8,0)</f>
        <v>0.0145867974</v>
      </c>
    </row>
    <row r="37">
      <c r="A37" s="13">
        <v>45852.0</v>
      </c>
      <c r="B37" s="43">
        <f>VLOOKUP(A37,'Return prepared data'!A:L,6,0)</f>
        <v>-0.007439738121</v>
      </c>
      <c r="C37" s="43">
        <f>VLOOKUP(A37,'Return prepared data'!A:H,8,0)</f>
        <v>0.005917169216</v>
      </c>
    </row>
    <row r="38">
      <c r="A38" s="7">
        <v>45845.0</v>
      </c>
      <c r="B38" s="43">
        <f>VLOOKUP(A38,'Return prepared data'!A:L,6,0)</f>
        <v>0.001689189189</v>
      </c>
      <c r="C38" s="43">
        <f>VLOOKUP(A38,'Return prepared data'!A:H,8,0)</f>
        <v>-0.003121342177</v>
      </c>
    </row>
    <row r="39">
      <c r="A39" s="13">
        <v>45838.0</v>
      </c>
      <c r="B39" s="43">
        <f>VLOOKUP(A39,'Return prepared data'!A:L,6,0)</f>
        <v>0.04866103991</v>
      </c>
      <c r="C39" s="43">
        <f>VLOOKUP(A39,'Return prepared data'!A:H,8,0)</f>
        <v>0.01721671713</v>
      </c>
    </row>
    <row r="40">
      <c r="A40" s="7">
        <v>45831.0</v>
      </c>
      <c r="B40" s="43">
        <f>VLOOKUP(A40,'Return prepared data'!A:L,6,0)</f>
        <v>0.03863636364</v>
      </c>
      <c r="C40" s="43">
        <f>VLOOKUP(A40,'Return prepared data'!A:H,8,0)</f>
        <v>0.03438932679</v>
      </c>
    </row>
    <row r="41">
      <c r="A41" s="13">
        <v>45824.0</v>
      </c>
      <c r="B41" s="43">
        <f>VLOOKUP(A41,'Return prepared data'!A:L,6,0)</f>
        <v>0.001843218042</v>
      </c>
      <c r="C41" s="43">
        <f>VLOOKUP(A41,'Return prepared data'!A:H,8,0)</f>
        <v>-0.001527529835</v>
      </c>
    </row>
    <row r="42">
      <c r="A42" s="7">
        <v>45817.0</v>
      </c>
      <c r="B42" s="43">
        <f>VLOOKUP(A42,'Return prepared data'!A:L,6,0)</f>
        <v>-0.02008074798</v>
      </c>
      <c r="C42" s="43">
        <f>VLOOKUP(A42,'Return prepared data'!A:H,8,0)</f>
        <v>-0.003898099447</v>
      </c>
    </row>
    <row r="43">
      <c r="A43" s="13">
        <v>45810.0</v>
      </c>
      <c r="B43" s="43">
        <f>VLOOKUP(A43,'Return prepared data'!A:L,6,0)</f>
        <v>0.03519577651</v>
      </c>
      <c r="C43" s="43">
        <f>VLOOKUP(A43,'Return prepared data'!A:H,8,0)</f>
        <v>0.01499909501</v>
      </c>
    </row>
    <row r="44">
      <c r="A44" s="7">
        <v>45803.0</v>
      </c>
      <c r="B44" s="43">
        <f>VLOOKUP(A44,'Return prepared data'!A:L,6,0)</f>
        <v>-0.002960850971</v>
      </c>
      <c r="C44" s="43">
        <f>VLOOKUP(A44,'Return prepared data'!A:H,8,0)</f>
        <v>0.01876156765</v>
      </c>
    </row>
    <row r="45">
      <c r="A45" s="13">
        <v>45796.0</v>
      </c>
      <c r="B45" s="43">
        <f>VLOOKUP(A45,'Return prepared data'!A:L,6,0)</f>
        <v>-0.03256948865</v>
      </c>
      <c r="C45" s="43">
        <f>VLOOKUP(A45,'Return prepared data'!A:H,8,0)</f>
        <v>-0.02610776755</v>
      </c>
    </row>
    <row r="46">
      <c r="A46" s="7">
        <v>45789.0</v>
      </c>
      <c r="B46" s="43">
        <f>VLOOKUP(A46,'Return prepared data'!A:L,6,0)</f>
        <v>0.02256454762</v>
      </c>
      <c r="C46" s="43">
        <f>VLOOKUP(A46,'Return prepared data'!A:H,8,0)</f>
        <v>0.05273405408</v>
      </c>
    </row>
    <row r="47">
      <c r="A47" s="13">
        <v>45782.0</v>
      </c>
      <c r="B47" s="43">
        <f>VLOOKUP(A47,'Return prepared data'!A:L,6,0)</f>
        <v>-0.009881847476</v>
      </c>
      <c r="C47" s="43">
        <f>VLOOKUP(A47,'Return prepared data'!A:H,8,0)</f>
        <v>-0.004705741673</v>
      </c>
    </row>
    <row r="48">
      <c r="A48" s="20">
        <v>45775.0</v>
      </c>
      <c r="B48" s="43">
        <f>VLOOKUP(A48,'Return prepared data'!A:L,6,0)</f>
        <v>0.008121277748</v>
      </c>
      <c r="C48" s="43">
        <f>VLOOKUP(A48,'Return prepared data'!A:H,8,0)</f>
        <v>0.0292224187</v>
      </c>
    </row>
    <row r="49">
      <c r="A49" s="13">
        <v>45768.0</v>
      </c>
      <c r="B49" s="43">
        <f>VLOOKUP(A49,'Return prepared data'!A:L,6,0)</f>
        <v>0.03729080085</v>
      </c>
      <c r="C49" s="43">
        <f>VLOOKUP(A49,'Return prepared data'!A:H,8,0)</f>
        <v>0.04590644935</v>
      </c>
    </row>
    <row r="50">
      <c r="A50" s="7">
        <v>45761.0</v>
      </c>
      <c r="B50" s="43">
        <f>VLOOKUP(A50,'Return prepared data'!A:L,6,0)</f>
        <v>0.003494138864</v>
      </c>
      <c r="C50" s="43">
        <f>VLOOKUP(A50,'Return prepared data'!A:H,8,0)</f>
        <v>-0.01503907998</v>
      </c>
    </row>
    <row r="51">
      <c r="A51" s="13">
        <v>45754.0</v>
      </c>
      <c r="B51" s="43">
        <f>VLOOKUP(A51,'Return prepared data'!A:L,6,0)</f>
        <v>-0.03070031684</v>
      </c>
      <c r="C51" s="43">
        <f>VLOOKUP(A51,'Return prepared data'!A:H,8,0)</f>
        <v>0.05701132028</v>
      </c>
    </row>
    <row r="52">
      <c r="A52" s="7">
        <v>45747.0</v>
      </c>
      <c r="B52" s="43">
        <f>VLOOKUP(A52,'Return prepared data'!A:L,6,0)</f>
        <v>-0.07648067803</v>
      </c>
      <c r="C52" s="43">
        <f>VLOOKUP(A52,'Return prepared data'!A:H,8,0)</f>
        <v>-0.09081982605</v>
      </c>
    </row>
    <row r="53">
      <c r="A53" s="13">
        <v>45740.0</v>
      </c>
      <c r="B53" s="43">
        <f>VLOOKUP(A53,'Return prepared data'!A:L,6,0)</f>
        <v>-0.00391959799</v>
      </c>
      <c r="C53" s="43">
        <f>VLOOKUP(A53,'Return prepared data'!A:H,8,0)</f>
        <v>-0.01528347296</v>
      </c>
    </row>
    <row r="54">
      <c r="A54" s="7">
        <v>45733.0</v>
      </c>
      <c r="B54" s="43">
        <f>VLOOKUP(A54,'Return prepared data'!A:L,6,0)</f>
        <v>-0.006093297373</v>
      </c>
      <c r="C54" s="43">
        <f>VLOOKUP(A54,'Return prepared data'!A:H,8,0)</f>
        <v>0.005075421976</v>
      </c>
    </row>
    <row r="55">
      <c r="A55" s="13">
        <v>45726.0</v>
      </c>
      <c r="B55" s="43" t="str">
        <f>VLOOKUP(A55,'Return prepared data'!A:L,6,0)</f>
        <v/>
      </c>
      <c r="C55" s="43" t="str">
        <f>VLOOKUP(A55,'Return prepared data'!A:H,8,0)</f>
        <v/>
      </c>
    </row>
    <row r="56">
      <c r="A56" s="23"/>
      <c r="B56" s="43"/>
      <c r="C56" s="43"/>
    </row>
    <row r="57">
      <c r="A57" s="23"/>
      <c r="B57" s="43"/>
      <c r="C57" s="43"/>
    </row>
    <row r="58">
      <c r="A58" s="26"/>
      <c r="B58" s="43"/>
      <c r="C58" s="43"/>
    </row>
    <row r="59">
      <c r="A59" s="28"/>
      <c r="B59" s="43"/>
      <c r="C59" s="43"/>
    </row>
    <row r="60">
      <c r="A60" s="30"/>
      <c r="B60" s="43"/>
      <c r="C60" s="43"/>
    </row>
    <row r="61">
      <c r="A61" s="32"/>
      <c r="B61" s="43"/>
      <c r="C61" s="43"/>
    </row>
    <row r="62">
      <c r="A62" s="23"/>
      <c r="B62" s="43"/>
      <c r="C62" s="43"/>
    </row>
    <row r="63">
      <c r="A63" s="23"/>
      <c r="B63" s="43"/>
      <c r="C63" s="43"/>
    </row>
    <row r="64">
      <c r="A64" s="23"/>
      <c r="B64" s="43"/>
      <c r="C64" s="43"/>
    </row>
    <row r="65">
      <c r="A65" s="23"/>
      <c r="B65" s="43"/>
      <c r="C65" s="43"/>
    </row>
    <row r="66">
      <c r="A66" s="1"/>
      <c r="B66" s="43"/>
      <c r="C66" s="43"/>
    </row>
    <row r="67">
      <c r="A67" s="23"/>
      <c r="B67" s="43"/>
      <c r="C67" s="43"/>
    </row>
    <row r="68">
      <c r="A68" s="23"/>
      <c r="B68" s="43"/>
      <c r="C68" s="43"/>
    </row>
    <row r="69">
      <c r="A69" s="23"/>
      <c r="B69" s="43"/>
      <c r="C69" s="43"/>
    </row>
    <row r="70">
      <c r="A70" s="23"/>
      <c r="B70" s="43"/>
      <c r="C70" s="43"/>
    </row>
    <row r="71">
      <c r="A71" s="23"/>
      <c r="B71" s="43"/>
      <c r="C71" s="43"/>
    </row>
    <row r="72">
      <c r="A72" s="23"/>
      <c r="B72" s="43"/>
      <c r="C72" s="43"/>
    </row>
    <row r="73">
      <c r="A73" s="23"/>
      <c r="B73" s="43"/>
      <c r="C73" s="43"/>
    </row>
    <row r="74">
      <c r="A74" s="23"/>
      <c r="B74" s="43"/>
      <c r="C74" s="43"/>
    </row>
    <row r="75">
      <c r="A75" s="23"/>
      <c r="B75" s="43"/>
      <c r="C75" s="43"/>
    </row>
    <row r="76">
      <c r="A76" s="23"/>
      <c r="B76" s="43"/>
      <c r="C76" s="43"/>
    </row>
    <row r="77">
      <c r="A77" s="23"/>
      <c r="B77" s="43"/>
      <c r="C77" s="43"/>
    </row>
    <row r="78">
      <c r="A78" s="23"/>
      <c r="B78" s="43"/>
      <c r="C78" s="43"/>
    </row>
    <row r="79">
      <c r="A79" s="23"/>
      <c r="B79" s="43"/>
      <c r="C79" s="43"/>
    </row>
    <row r="80">
      <c r="A80" s="23"/>
      <c r="B80" s="43"/>
      <c r="C80" s="43"/>
    </row>
    <row r="81">
      <c r="A81" s="23"/>
      <c r="B81" s="43"/>
      <c r="C81" s="43"/>
    </row>
    <row r="82">
      <c r="A82" s="23"/>
      <c r="B82" s="43"/>
      <c r="C82" s="43"/>
    </row>
    <row r="83">
      <c r="A83" s="23"/>
      <c r="B83" s="43"/>
      <c r="C83" s="43"/>
    </row>
    <row r="84">
      <c r="A84" s="23"/>
      <c r="B84" s="43"/>
      <c r="C84" s="43"/>
    </row>
    <row r="85">
      <c r="A85" s="23"/>
      <c r="B85" s="43"/>
      <c r="C85" s="43"/>
    </row>
    <row r="86">
      <c r="A86" s="23"/>
      <c r="B86" s="43"/>
      <c r="C86" s="43"/>
    </row>
    <row r="87">
      <c r="A87" s="23"/>
      <c r="B87" s="43"/>
      <c r="C87" s="43"/>
    </row>
    <row r="88">
      <c r="A88" s="23"/>
      <c r="B88" s="43"/>
      <c r="C88" s="43"/>
    </row>
    <row r="89">
      <c r="A89" s="23"/>
      <c r="B89" s="43"/>
      <c r="C89" s="43"/>
    </row>
    <row r="90">
      <c r="A90" s="23"/>
      <c r="B90" s="43"/>
      <c r="C90" s="43"/>
    </row>
    <row r="91">
      <c r="A91" s="23"/>
      <c r="B91" s="43"/>
      <c r="C91" s="43"/>
    </row>
    <row r="92">
      <c r="A92" s="23"/>
      <c r="B92" s="43"/>
      <c r="C92" s="43"/>
    </row>
    <row r="93">
      <c r="A93" s="23"/>
      <c r="B93" s="43"/>
      <c r="C93" s="43"/>
    </row>
    <row r="94">
      <c r="A94" s="23"/>
      <c r="B94" s="43"/>
      <c r="C94" s="43"/>
    </row>
    <row r="95">
      <c r="A95" s="23"/>
      <c r="B95" s="43"/>
      <c r="C95" s="43"/>
    </row>
    <row r="96">
      <c r="A96" s="23"/>
      <c r="B96" s="43"/>
      <c r="C96" s="43"/>
    </row>
    <row r="97">
      <c r="A97" s="23"/>
      <c r="B97" s="43"/>
      <c r="C97" s="43"/>
    </row>
    <row r="98">
      <c r="A98" s="23"/>
      <c r="B98" s="43"/>
      <c r="C98" s="43"/>
    </row>
    <row r="99">
      <c r="A99" s="23"/>
      <c r="B99" s="43"/>
      <c r="C99" s="43"/>
    </row>
    <row r="100">
      <c r="A100" s="23"/>
      <c r="B100" s="43"/>
      <c r="C100" s="43"/>
    </row>
    <row r="101">
      <c r="A101" s="23"/>
      <c r="B101" s="43"/>
      <c r="C101" s="43"/>
    </row>
    <row r="102">
      <c r="A102" s="23"/>
      <c r="B102" s="43"/>
      <c r="C102" s="43"/>
    </row>
    <row r="103">
      <c r="A103" s="23"/>
      <c r="B103" s="43"/>
      <c r="C103" s="43"/>
    </row>
    <row r="104">
      <c r="A104" s="23"/>
      <c r="B104" s="43"/>
      <c r="C104" s="43"/>
    </row>
    <row r="105">
      <c r="A105" s="23"/>
      <c r="B105" s="43"/>
      <c r="C105" s="43"/>
    </row>
    <row r="106">
      <c r="A106" s="23"/>
      <c r="B106" s="43"/>
      <c r="C106" s="43"/>
    </row>
    <row r="107">
      <c r="A107" s="23"/>
      <c r="B107" s="43"/>
      <c r="C107" s="43"/>
    </row>
    <row r="108">
      <c r="A108" s="23"/>
      <c r="B108" s="43"/>
      <c r="C108" s="43"/>
    </row>
    <row r="109">
      <c r="A109" s="23"/>
      <c r="B109" s="43"/>
      <c r="C109" s="43"/>
    </row>
    <row r="110">
      <c r="A110" s="23"/>
      <c r="B110" s="43"/>
      <c r="C110" s="43"/>
    </row>
    <row r="111">
      <c r="A111" s="23"/>
      <c r="B111" s="43"/>
      <c r="C111" s="43"/>
    </row>
    <row r="112">
      <c r="A112" s="23"/>
      <c r="B112" s="43"/>
      <c r="C112" s="43"/>
    </row>
    <row r="113">
      <c r="A113" s="23"/>
      <c r="B113" s="43"/>
      <c r="C113" s="43"/>
    </row>
    <row r="114">
      <c r="A114" s="23"/>
      <c r="B114" s="43"/>
      <c r="C114" s="43"/>
    </row>
    <row r="115">
      <c r="A115" s="23"/>
      <c r="B115" s="43"/>
      <c r="C115" s="43"/>
    </row>
    <row r="116">
      <c r="A116" s="23"/>
      <c r="B116" s="43"/>
      <c r="C116" s="43"/>
    </row>
    <row r="117">
      <c r="A117" s="23"/>
      <c r="B117" s="43"/>
      <c r="C117" s="43"/>
    </row>
    <row r="118">
      <c r="A118" s="23"/>
      <c r="B118" s="43"/>
      <c r="C118" s="43"/>
    </row>
    <row r="119">
      <c r="A119" s="23"/>
      <c r="B119" s="43"/>
      <c r="C119" s="43"/>
    </row>
    <row r="120">
      <c r="A120" s="23"/>
      <c r="B120" s="43"/>
      <c r="C120" s="43"/>
    </row>
    <row r="121">
      <c r="A121" s="23"/>
      <c r="B121" s="43"/>
      <c r="C121" s="43"/>
    </row>
    <row r="122">
      <c r="A122" s="23"/>
      <c r="B122" s="43"/>
      <c r="C122" s="43"/>
    </row>
    <row r="123">
      <c r="A123" s="23"/>
      <c r="B123" s="43"/>
      <c r="C123" s="43"/>
    </row>
    <row r="124">
      <c r="A124" s="23"/>
      <c r="B124" s="43"/>
      <c r="C124" s="43"/>
    </row>
    <row r="125">
      <c r="A125" s="23"/>
      <c r="B125" s="43"/>
      <c r="C125" s="43"/>
    </row>
    <row r="126">
      <c r="A126" s="23"/>
      <c r="B126" s="43"/>
      <c r="C126" s="43"/>
    </row>
    <row r="127">
      <c r="A127" s="23"/>
      <c r="B127" s="43"/>
      <c r="C127" s="43"/>
    </row>
    <row r="128">
      <c r="A128" s="23"/>
      <c r="B128" s="43"/>
      <c r="C128" s="43"/>
    </row>
    <row r="129">
      <c r="A129" s="23"/>
      <c r="B129" s="43"/>
      <c r="C129" s="43"/>
    </row>
    <row r="130">
      <c r="A130" s="23"/>
      <c r="B130" s="43"/>
      <c r="C130" s="43"/>
    </row>
    <row r="131">
      <c r="A131" s="23"/>
      <c r="B131" s="43"/>
      <c r="C131" s="43"/>
    </row>
    <row r="132">
      <c r="A132" s="23"/>
      <c r="B132" s="43"/>
      <c r="C132" s="43"/>
    </row>
    <row r="133">
      <c r="A133" s="23"/>
      <c r="B133" s="43"/>
      <c r="C133" s="43"/>
    </row>
    <row r="134">
      <c r="A134" s="23"/>
      <c r="B134" s="43"/>
      <c r="C134" s="43"/>
    </row>
    <row r="135">
      <c r="A135" s="23"/>
      <c r="B135" s="43"/>
      <c r="C135" s="43"/>
    </row>
    <row r="136">
      <c r="A136" s="23"/>
      <c r="B136" s="43"/>
      <c r="C136" s="43"/>
    </row>
    <row r="137">
      <c r="A137" s="23"/>
      <c r="B137" s="43"/>
      <c r="C137" s="43"/>
    </row>
    <row r="138">
      <c r="A138" s="23"/>
      <c r="B138" s="43"/>
      <c r="C138" s="43"/>
    </row>
    <row r="139">
      <c r="A139" s="23"/>
      <c r="B139" s="43"/>
      <c r="C139" s="43"/>
    </row>
    <row r="140">
      <c r="A140" s="23"/>
      <c r="B140" s="43"/>
      <c r="C140" s="43"/>
    </row>
    <row r="141">
      <c r="A141" s="23"/>
      <c r="B141" s="43"/>
      <c r="C141" s="43"/>
    </row>
    <row r="142">
      <c r="A142" s="23"/>
      <c r="B142" s="43"/>
      <c r="C142" s="43"/>
    </row>
    <row r="143">
      <c r="A143" s="23"/>
      <c r="B143" s="43"/>
      <c r="C143" s="43"/>
    </row>
    <row r="144">
      <c r="A144" s="23"/>
      <c r="B144" s="43"/>
      <c r="C144" s="43"/>
    </row>
    <row r="145">
      <c r="A145" s="23"/>
      <c r="B145" s="43"/>
      <c r="C145" s="43"/>
    </row>
    <row r="146">
      <c r="A146" s="23"/>
      <c r="B146" s="43"/>
      <c r="C146" s="43"/>
    </row>
    <row r="147">
      <c r="A147" s="23"/>
      <c r="B147" s="43"/>
      <c r="C147" s="43"/>
    </row>
    <row r="148">
      <c r="A148" s="23"/>
      <c r="B148" s="43"/>
      <c r="C148" s="43"/>
    </row>
    <row r="149">
      <c r="A149" s="23"/>
      <c r="B149" s="43"/>
      <c r="C149" s="43"/>
    </row>
    <row r="150">
      <c r="A150" s="23"/>
      <c r="B150" s="43"/>
      <c r="C150" s="43"/>
    </row>
    <row r="151">
      <c r="A151" s="23"/>
      <c r="B151" s="43"/>
      <c r="C151" s="43"/>
    </row>
    <row r="152">
      <c r="A152" s="23"/>
      <c r="B152" s="43"/>
      <c r="C152" s="43"/>
    </row>
    <row r="153">
      <c r="A153" s="23"/>
      <c r="B153" s="43"/>
      <c r="C153" s="43"/>
    </row>
    <row r="154">
      <c r="A154" s="23"/>
      <c r="B154" s="43"/>
      <c r="C154" s="43"/>
    </row>
    <row r="155">
      <c r="A155" s="23"/>
      <c r="B155" s="43"/>
      <c r="C155" s="43"/>
    </row>
    <row r="156">
      <c r="A156" s="23"/>
      <c r="B156" s="43"/>
      <c r="C156" s="43"/>
    </row>
    <row r="157">
      <c r="A157" s="23"/>
      <c r="B157" s="43"/>
      <c r="C157" s="43"/>
    </row>
    <row r="158">
      <c r="A158" s="23"/>
      <c r="B158" s="43"/>
      <c r="C158" s="43"/>
    </row>
    <row r="159">
      <c r="A159" s="23"/>
      <c r="B159" s="43"/>
      <c r="C159" s="43"/>
    </row>
    <row r="160">
      <c r="A160" s="23"/>
      <c r="B160" s="43"/>
      <c r="C160" s="43"/>
    </row>
    <row r="161">
      <c r="A161" s="23"/>
      <c r="B161" s="43"/>
      <c r="C161" s="43"/>
    </row>
    <row r="162">
      <c r="A162" s="23"/>
      <c r="B162" s="43"/>
      <c r="C162" s="43"/>
    </row>
    <row r="163">
      <c r="A163" s="23"/>
      <c r="B163" s="43"/>
      <c r="C163" s="43"/>
    </row>
    <row r="164">
      <c r="A164" s="23"/>
      <c r="B164" s="43"/>
      <c r="C164" s="43"/>
    </row>
    <row r="165">
      <c r="A165" s="23"/>
      <c r="B165" s="43"/>
      <c r="C165" s="43"/>
    </row>
    <row r="166">
      <c r="A166" s="23"/>
      <c r="B166" s="43"/>
      <c r="C166" s="43"/>
    </row>
    <row r="167">
      <c r="A167" s="23"/>
      <c r="B167" s="43"/>
      <c r="C167" s="43"/>
    </row>
    <row r="168">
      <c r="A168" s="23"/>
      <c r="B168" s="43"/>
      <c r="C168" s="43"/>
    </row>
    <row r="169">
      <c r="A169" s="23"/>
      <c r="B169" s="43"/>
      <c r="C169" s="43"/>
    </row>
    <row r="170">
      <c r="A170" s="23"/>
      <c r="B170" s="43"/>
      <c r="C170" s="43"/>
    </row>
    <row r="171">
      <c r="A171" s="23"/>
      <c r="B171" s="43"/>
      <c r="C171" s="43"/>
    </row>
    <row r="172">
      <c r="A172" s="23"/>
      <c r="B172" s="43"/>
      <c r="C172" s="43"/>
    </row>
    <row r="173">
      <c r="A173" s="23"/>
      <c r="B173" s="43"/>
      <c r="C173" s="43"/>
    </row>
    <row r="174">
      <c r="A174" s="23"/>
      <c r="B174" s="43"/>
      <c r="C174" s="43"/>
    </row>
    <row r="175">
      <c r="A175" s="23"/>
      <c r="B175" s="43"/>
      <c r="C175" s="43"/>
    </row>
    <row r="176">
      <c r="A176" s="23"/>
      <c r="B176" s="43"/>
      <c r="C176" s="43"/>
    </row>
    <row r="177">
      <c r="A177" s="23"/>
      <c r="B177" s="43"/>
      <c r="C177" s="43"/>
    </row>
    <row r="178">
      <c r="A178" s="23"/>
      <c r="B178" s="43"/>
      <c r="C178" s="43"/>
    </row>
    <row r="179">
      <c r="A179" s="23"/>
      <c r="B179" s="43"/>
      <c r="C179" s="43"/>
    </row>
    <row r="180">
      <c r="A180" s="23"/>
      <c r="B180" s="43"/>
      <c r="C180" s="43"/>
    </row>
    <row r="181">
      <c r="A181" s="23"/>
      <c r="B181" s="43"/>
      <c r="C181" s="43"/>
    </row>
    <row r="182">
      <c r="A182" s="23"/>
      <c r="B182" s="43"/>
      <c r="C182" s="43"/>
    </row>
    <row r="183">
      <c r="A183" s="23"/>
      <c r="B183" s="43"/>
      <c r="C183" s="43"/>
    </row>
    <row r="184">
      <c r="A184" s="23"/>
      <c r="B184" s="43"/>
      <c r="C184" s="43"/>
    </row>
    <row r="185">
      <c r="A185" s="23"/>
      <c r="B185" s="43"/>
      <c r="C185" s="43"/>
    </row>
    <row r="186">
      <c r="A186" s="23"/>
      <c r="B186" s="43"/>
      <c r="C186" s="43"/>
    </row>
    <row r="187">
      <c r="A187" s="23"/>
      <c r="B187" s="43"/>
      <c r="C187" s="43"/>
    </row>
    <row r="188">
      <c r="A188" s="23"/>
      <c r="B188" s="43"/>
      <c r="C188" s="43"/>
    </row>
    <row r="189">
      <c r="A189" s="23"/>
      <c r="B189" s="43"/>
      <c r="C189" s="43"/>
    </row>
    <row r="190">
      <c r="A190" s="23"/>
      <c r="B190" s="43"/>
      <c r="C190" s="43"/>
    </row>
    <row r="191">
      <c r="A191" s="23"/>
      <c r="B191" s="43"/>
      <c r="C191" s="43"/>
    </row>
    <row r="192">
      <c r="A192" s="23"/>
      <c r="B192" s="43"/>
      <c r="C192" s="43"/>
    </row>
    <row r="193">
      <c r="A193" s="23"/>
      <c r="B193" s="43"/>
      <c r="C193" s="43"/>
    </row>
    <row r="194">
      <c r="A194" s="23"/>
      <c r="B194" s="43"/>
      <c r="C194" s="43"/>
    </row>
    <row r="195">
      <c r="A195" s="23"/>
      <c r="B195" s="43"/>
      <c r="C195" s="43"/>
    </row>
    <row r="196">
      <c r="A196" s="23"/>
      <c r="B196" s="43"/>
      <c r="C196" s="43"/>
    </row>
    <row r="197">
      <c r="A197" s="23"/>
      <c r="B197" s="43"/>
      <c r="C197" s="43"/>
    </row>
    <row r="198">
      <c r="A198" s="23"/>
      <c r="B198" s="43"/>
      <c r="C198" s="43"/>
    </row>
    <row r="199">
      <c r="A199" s="23"/>
      <c r="B199" s="43"/>
      <c r="C199" s="43"/>
    </row>
    <row r="200">
      <c r="A200" s="23"/>
      <c r="B200" s="43"/>
      <c r="C200" s="43"/>
    </row>
    <row r="201">
      <c r="A201" s="23"/>
      <c r="B201" s="43"/>
      <c r="C201" s="43"/>
    </row>
    <row r="202">
      <c r="A202" s="23"/>
      <c r="B202" s="43"/>
      <c r="C202" s="43"/>
    </row>
    <row r="203">
      <c r="A203" s="23"/>
      <c r="B203" s="43"/>
      <c r="C203" s="43"/>
    </row>
    <row r="204">
      <c r="A204" s="23"/>
      <c r="B204" s="43"/>
      <c r="C204" s="43"/>
    </row>
    <row r="205">
      <c r="A205" s="23"/>
      <c r="B205" s="43"/>
      <c r="C205" s="43"/>
    </row>
    <row r="206">
      <c r="A206" s="23"/>
      <c r="B206" s="43"/>
      <c r="C206" s="43"/>
    </row>
    <row r="207">
      <c r="A207" s="23"/>
      <c r="B207" s="43"/>
      <c r="C207" s="43"/>
    </row>
    <row r="208">
      <c r="A208" s="23"/>
      <c r="B208" s="43"/>
      <c r="C208" s="43"/>
    </row>
    <row r="209">
      <c r="A209" s="23"/>
      <c r="B209" s="43"/>
      <c r="C209" s="43"/>
    </row>
    <row r="210">
      <c r="A210" s="23"/>
      <c r="B210" s="43"/>
      <c r="C210" s="43"/>
    </row>
    <row r="211">
      <c r="A211" s="23"/>
      <c r="B211" s="43"/>
      <c r="C211" s="43"/>
    </row>
    <row r="212">
      <c r="A212" s="23"/>
      <c r="B212" s="43"/>
      <c r="C212" s="43"/>
    </row>
    <row r="213">
      <c r="A213" s="23"/>
      <c r="B213" s="43"/>
      <c r="C213" s="43"/>
    </row>
    <row r="214">
      <c r="A214" s="23"/>
      <c r="B214" s="43"/>
      <c r="C214" s="43"/>
    </row>
    <row r="215">
      <c r="A215" s="23"/>
      <c r="B215" s="43"/>
      <c r="C215" s="43"/>
    </row>
    <row r="216">
      <c r="A216" s="23"/>
      <c r="B216" s="43"/>
      <c r="C216" s="43"/>
    </row>
    <row r="217">
      <c r="A217" s="23"/>
      <c r="B217" s="43"/>
      <c r="C217" s="43"/>
    </row>
    <row r="218">
      <c r="A218" s="23"/>
      <c r="B218" s="43"/>
      <c r="C218" s="43"/>
    </row>
    <row r="219">
      <c r="A219" s="23"/>
      <c r="B219" s="43"/>
      <c r="C219" s="43"/>
    </row>
    <row r="220">
      <c r="A220" s="23"/>
      <c r="B220" s="43"/>
      <c r="C220" s="43"/>
    </row>
    <row r="221">
      <c r="A221" s="23"/>
      <c r="B221" s="43"/>
      <c r="C221" s="43"/>
    </row>
    <row r="222">
      <c r="A222" s="23"/>
      <c r="B222" s="43"/>
      <c r="C222" s="43"/>
    </row>
    <row r="223">
      <c r="A223" s="23"/>
      <c r="B223" s="43"/>
      <c r="C223" s="43"/>
    </row>
    <row r="224">
      <c r="A224" s="23"/>
      <c r="B224" s="43"/>
      <c r="C224" s="43"/>
    </row>
    <row r="225">
      <c r="A225" s="23"/>
      <c r="B225" s="43"/>
      <c r="C225" s="43"/>
    </row>
    <row r="226">
      <c r="A226" s="23"/>
      <c r="B226" s="43"/>
      <c r="C226" s="43"/>
    </row>
    <row r="227">
      <c r="A227" s="23"/>
      <c r="B227" s="43"/>
      <c r="C227" s="43"/>
    </row>
    <row r="228">
      <c r="A228" s="23"/>
      <c r="B228" s="43"/>
      <c r="C228" s="43"/>
    </row>
    <row r="229">
      <c r="A229" s="23"/>
      <c r="B229" s="43"/>
      <c r="C229" s="43"/>
    </row>
    <row r="230">
      <c r="A230" s="23"/>
      <c r="B230" s="43"/>
      <c r="C230" s="43"/>
    </row>
    <row r="231">
      <c r="A231" s="23"/>
      <c r="B231" s="43"/>
      <c r="C231" s="43"/>
    </row>
    <row r="232">
      <c r="A232" s="23"/>
      <c r="B232" s="43"/>
      <c r="C232" s="43"/>
    </row>
    <row r="233">
      <c r="A233" s="23"/>
      <c r="B233" s="43"/>
      <c r="C233" s="43"/>
    </row>
    <row r="234">
      <c r="A234" s="23"/>
      <c r="B234" s="43"/>
      <c r="C234" s="43"/>
    </row>
    <row r="235">
      <c r="A235" s="23"/>
      <c r="B235" s="43"/>
      <c r="C235" s="43"/>
    </row>
    <row r="236">
      <c r="A236" s="23"/>
      <c r="B236" s="43"/>
      <c r="C236" s="43"/>
    </row>
    <row r="237">
      <c r="A237" s="23"/>
      <c r="B237" s="43"/>
      <c r="C237" s="43"/>
    </row>
    <row r="238">
      <c r="A238" s="23"/>
      <c r="B238" s="43"/>
      <c r="C238" s="43"/>
    </row>
    <row r="239">
      <c r="A239" s="23"/>
      <c r="B239" s="43"/>
      <c r="C239" s="43"/>
    </row>
    <row r="240">
      <c r="A240" s="23"/>
      <c r="B240" s="43"/>
      <c r="C240" s="43"/>
    </row>
    <row r="241">
      <c r="A241" s="23"/>
      <c r="B241" s="43"/>
      <c r="C241" s="43"/>
    </row>
    <row r="242">
      <c r="A242" s="23"/>
      <c r="B242" s="43"/>
      <c r="C242" s="43"/>
    </row>
    <row r="243">
      <c r="A243" s="23"/>
      <c r="B243" s="43"/>
      <c r="C243" s="43"/>
    </row>
    <row r="244">
      <c r="A244" s="23"/>
      <c r="B244" s="43"/>
      <c r="C244" s="43"/>
    </row>
    <row r="245">
      <c r="A245" s="23"/>
      <c r="B245" s="43"/>
      <c r="C245" s="43"/>
    </row>
    <row r="246">
      <c r="A246" s="23"/>
      <c r="B246" s="43"/>
      <c r="C246" s="43"/>
    </row>
    <row r="247">
      <c r="A247" s="23"/>
      <c r="B247" s="43"/>
      <c r="C247" s="43"/>
    </row>
    <row r="248">
      <c r="A248" s="23"/>
      <c r="B248" s="43"/>
      <c r="C248" s="43"/>
    </row>
    <row r="249">
      <c r="A249" s="23"/>
      <c r="B249" s="43"/>
      <c r="C249" s="43"/>
    </row>
    <row r="250">
      <c r="A250" s="23"/>
      <c r="B250" s="43"/>
      <c r="C250" s="43"/>
    </row>
    <row r="251">
      <c r="A251" s="23"/>
      <c r="B251" s="43"/>
      <c r="C251" s="43"/>
    </row>
    <row r="252">
      <c r="A252" s="23"/>
      <c r="B252" s="43"/>
      <c r="C252" s="43"/>
    </row>
    <row r="253">
      <c r="A253" s="23"/>
      <c r="B253" s="43"/>
      <c r="C253" s="43"/>
    </row>
    <row r="254">
      <c r="A254" s="23"/>
      <c r="B254" s="43"/>
      <c r="C254" s="43"/>
    </row>
    <row r="255">
      <c r="A255" s="23"/>
      <c r="B255" s="43"/>
      <c r="C255" s="43"/>
    </row>
    <row r="256">
      <c r="A256" s="23"/>
      <c r="B256" s="43"/>
      <c r="C256" s="43"/>
    </row>
    <row r="257">
      <c r="A257" s="23"/>
      <c r="B257" s="43"/>
      <c r="C257" s="43"/>
    </row>
    <row r="258">
      <c r="A258" s="23"/>
      <c r="B258" s="43"/>
      <c r="C258" s="43"/>
    </row>
    <row r="259">
      <c r="A259" s="23"/>
      <c r="B259" s="43"/>
      <c r="C259" s="43"/>
    </row>
    <row r="260">
      <c r="A260" s="23"/>
      <c r="B260" s="43"/>
      <c r="C260" s="43"/>
    </row>
    <row r="261">
      <c r="A261" s="23"/>
      <c r="B261" s="43"/>
      <c r="C261" s="43"/>
    </row>
    <row r="262">
      <c r="A262" s="23"/>
      <c r="B262" s="43"/>
      <c r="C262" s="43"/>
    </row>
    <row r="263">
      <c r="A263" s="23"/>
      <c r="B263" s="43"/>
      <c r="C263" s="43"/>
    </row>
    <row r="264">
      <c r="A264" s="23"/>
      <c r="B264" s="43"/>
      <c r="C264" s="43"/>
    </row>
    <row r="265">
      <c r="A265" s="23"/>
      <c r="B265" s="43"/>
      <c r="C265" s="43"/>
    </row>
    <row r="266">
      <c r="A266" s="23"/>
      <c r="B266" s="43"/>
      <c r="C266" s="43"/>
    </row>
    <row r="267">
      <c r="A267" s="23"/>
      <c r="B267" s="43"/>
      <c r="C267" s="43"/>
    </row>
    <row r="268">
      <c r="A268" s="23"/>
      <c r="B268" s="43"/>
      <c r="C268" s="43"/>
    </row>
    <row r="269">
      <c r="A269" s="23"/>
      <c r="B269" s="43"/>
      <c r="C269" s="43"/>
    </row>
    <row r="270">
      <c r="A270" s="23"/>
      <c r="B270" s="43"/>
      <c r="C270" s="43"/>
    </row>
    <row r="271">
      <c r="A271" s="23"/>
      <c r="B271" s="43"/>
      <c r="C271" s="43"/>
    </row>
    <row r="272">
      <c r="A272" s="23"/>
      <c r="B272" s="43"/>
      <c r="C272" s="43"/>
    </row>
    <row r="273">
      <c r="A273" s="23"/>
      <c r="B273" s="43"/>
      <c r="C273" s="43"/>
    </row>
    <row r="274">
      <c r="A274" s="23"/>
      <c r="B274" s="43"/>
      <c r="C274" s="43"/>
    </row>
    <row r="275">
      <c r="A275" s="23"/>
      <c r="B275" s="43"/>
      <c r="C275" s="43"/>
    </row>
    <row r="276">
      <c r="A276" s="23"/>
      <c r="B276" s="43"/>
      <c r="C276" s="43"/>
    </row>
    <row r="277">
      <c r="A277" s="23"/>
      <c r="B277" s="43"/>
      <c r="C277" s="43"/>
    </row>
    <row r="278">
      <c r="A278" s="23"/>
      <c r="B278" s="43"/>
      <c r="C278" s="43"/>
    </row>
    <row r="279">
      <c r="A279" s="23"/>
      <c r="B279" s="43"/>
      <c r="C279" s="43"/>
    </row>
    <row r="280">
      <c r="A280" s="23"/>
      <c r="B280" s="43"/>
      <c r="C280" s="43"/>
    </row>
    <row r="281">
      <c r="A281" s="23"/>
      <c r="B281" s="43"/>
      <c r="C281" s="43"/>
    </row>
    <row r="282">
      <c r="A282" s="23"/>
      <c r="B282" s="43"/>
      <c r="C282" s="43"/>
    </row>
    <row r="283">
      <c r="A283" s="23"/>
      <c r="B283" s="43"/>
      <c r="C283" s="43"/>
    </row>
    <row r="284">
      <c r="A284" s="23"/>
      <c r="B284" s="43"/>
      <c r="C284" s="43"/>
    </row>
    <row r="285">
      <c r="A285" s="23"/>
      <c r="B285" s="43"/>
      <c r="C285" s="43"/>
    </row>
    <row r="286">
      <c r="A286" s="23"/>
      <c r="B286" s="43"/>
      <c r="C286" s="43"/>
    </row>
    <row r="287">
      <c r="A287" s="23"/>
      <c r="B287" s="43"/>
      <c r="C287" s="43"/>
    </row>
    <row r="288">
      <c r="A288" s="23"/>
      <c r="B288" s="43"/>
      <c r="C288" s="43"/>
    </row>
    <row r="289">
      <c r="A289" s="23"/>
      <c r="B289" s="43"/>
      <c r="C289" s="43"/>
    </row>
    <row r="290">
      <c r="A290" s="23"/>
      <c r="B290" s="43"/>
      <c r="C290" s="43"/>
    </row>
    <row r="291">
      <c r="A291" s="23"/>
      <c r="B291" s="43"/>
      <c r="C291" s="43"/>
    </row>
    <row r="292">
      <c r="A292" s="23"/>
      <c r="B292" s="43"/>
      <c r="C292" s="43"/>
    </row>
    <row r="293">
      <c r="A293" s="23"/>
      <c r="B293" s="43"/>
      <c r="C293" s="43"/>
    </row>
    <row r="294">
      <c r="A294" s="23"/>
      <c r="B294" s="43"/>
      <c r="C294" s="43"/>
    </row>
    <row r="295">
      <c r="A295" s="23"/>
      <c r="B295" s="43"/>
      <c r="C295" s="43"/>
    </row>
    <row r="296">
      <c r="A296" s="23"/>
      <c r="B296" s="43"/>
      <c r="C296" s="43"/>
    </row>
    <row r="297">
      <c r="A297" s="23"/>
      <c r="B297" s="43"/>
      <c r="C297" s="43"/>
    </row>
    <row r="298">
      <c r="A298" s="23"/>
      <c r="B298" s="43"/>
      <c r="C298" s="43"/>
    </row>
    <row r="299">
      <c r="A299" s="23"/>
      <c r="B299" s="43"/>
      <c r="C299" s="43"/>
    </row>
    <row r="300">
      <c r="A300" s="23"/>
      <c r="B300" s="43"/>
      <c r="C300" s="43"/>
    </row>
    <row r="301">
      <c r="A301" s="23"/>
      <c r="B301" s="43"/>
      <c r="C301" s="43"/>
    </row>
    <row r="302">
      <c r="A302" s="23"/>
      <c r="B302" s="43"/>
      <c r="C302" s="43"/>
    </row>
    <row r="303">
      <c r="A303" s="23"/>
      <c r="B303" s="43"/>
      <c r="C303" s="43"/>
    </row>
    <row r="304">
      <c r="A304" s="23"/>
      <c r="B304" s="43"/>
      <c r="C304" s="43"/>
    </row>
    <row r="305">
      <c r="A305" s="23"/>
      <c r="B305" s="43"/>
      <c r="C305" s="43"/>
    </row>
    <row r="306">
      <c r="A306" s="23"/>
      <c r="B306" s="43"/>
      <c r="C306" s="43"/>
    </row>
    <row r="307">
      <c r="A307" s="23"/>
      <c r="B307" s="43"/>
      <c r="C307" s="43"/>
    </row>
    <row r="308">
      <c r="A308" s="23"/>
      <c r="B308" s="43"/>
      <c r="C308" s="43"/>
    </row>
    <row r="309">
      <c r="A309" s="23"/>
      <c r="B309" s="43"/>
      <c r="C309" s="43"/>
    </row>
    <row r="310">
      <c r="A310" s="23"/>
      <c r="B310" s="43"/>
      <c r="C310" s="43"/>
    </row>
    <row r="311">
      <c r="A311" s="23"/>
      <c r="B311" s="43"/>
      <c r="C311" s="43"/>
    </row>
    <row r="312">
      <c r="A312" s="23"/>
      <c r="B312" s="43"/>
      <c r="C312" s="43"/>
    </row>
    <row r="313">
      <c r="A313" s="23"/>
      <c r="B313" s="43"/>
      <c r="C313" s="43"/>
    </row>
    <row r="314">
      <c r="A314" s="23"/>
      <c r="B314" s="43"/>
      <c r="C314" s="43"/>
    </row>
    <row r="315">
      <c r="A315" s="23"/>
      <c r="B315" s="43"/>
      <c r="C315" s="43"/>
    </row>
    <row r="316">
      <c r="A316" s="23"/>
      <c r="B316" s="43"/>
      <c r="C316" s="43"/>
    </row>
    <row r="317">
      <c r="A317" s="23"/>
      <c r="B317" s="43"/>
      <c r="C317" s="43"/>
    </row>
    <row r="318">
      <c r="A318" s="23"/>
      <c r="B318" s="43"/>
      <c r="C318" s="43"/>
    </row>
    <row r="319">
      <c r="A319" s="23"/>
      <c r="B319" s="43"/>
      <c r="C319" s="43"/>
    </row>
    <row r="320">
      <c r="A320" s="23"/>
      <c r="B320" s="43"/>
      <c r="C320" s="43"/>
    </row>
    <row r="321">
      <c r="A321" s="23"/>
      <c r="B321" s="43"/>
      <c r="C321" s="43"/>
    </row>
    <row r="322">
      <c r="A322" s="23"/>
      <c r="B322" s="43"/>
      <c r="C322" s="43"/>
    </row>
    <row r="323">
      <c r="A323" s="23"/>
      <c r="B323" s="43"/>
      <c r="C323" s="43"/>
    </row>
    <row r="324">
      <c r="A324" s="23"/>
      <c r="B324" s="43"/>
      <c r="C324" s="43"/>
    </row>
    <row r="325">
      <c r="A325" s="23"/>
      <c r="B325" s="43"/>
      <c r="C325" s="43"/>
    </row>
    <row r="326">
      <c r="A326" s="23"/>
      <c r="B326" s="43"/>
      <c r="C326" s="43"/>
    </row>
    <row r="327">
      <c r="A327" s="23"/>
      <c r="B327" s="43"/>
      <c r="C327" s="43"/>
    </row>
    <row r="328">
      <c r="A328" s="23"/>
      <c r="B328" s="43"/>
      <c r="C328" s="43"/>
    </row>
    <row r="329">
      <c r="A329" s="23"/>
      <c r="B329" s="43"/>
      <c r="C329" s="43"/>
    </row>
    <row r="330">
      <c r="A330" s="23"/>
      <c r="B330" s="43"/>
      <c r="C330" s="43"/>
    </row>
    <row r="331">
      <c r="A331" s="23"/>
      <c r="B331" s="43"/>
      <c r="C331" s="43"/>
    </row>
    <row r="332">
      <c r="A332" s="23"/>
      <c r="B332" s="43"/>
      <c r="C332" s="43"/>
    </row>
    <row r="333">
      <c r="A333" s="23"/>
      <c r="B333" s="43"/>
      <c r="C333" s="43"/>
    </row>
    <row r="334">
      <c r="A334" s="23"/>
      <c r="B334" s="43"/>
      <c r="C334" s="43"/>
    </row>
    <row r="335">
      <c r="A335" s="23"/>
      <c r="B335" s="43"/>
      <c r="C335" s="43"/>
    </row>
    <row r="336">
      <c r="A336" s="23"/>
      <c r="B336" s="43"/>
      <c r="C336" s="43"/>
    </row>
    <row r="337">
      <c r="A337" s="23"/>
      <c r="B337" s="43"/>
      <c r="C337" s="43"/>
    </row>
    <row r="338">
      <c r="A338" s="23"/>
      <c r="B338" s="43"/>
      <c r="C338" s="43"/>
    </row>
    <row r="339">
      <c r="A339" s="23"/>
      <c r="B339" s="43"/>
      <c r="C339" s="43"/>
    </row>
    <row r="340">
      <c r="A340" s="23"/>
      <c r="B340" s="43"/>
      <c r="C340" s="43"/>
    </row>
    <row r="341">
      <c r="A341" s="23"/>
      <c r="B341" s="43"/>
      <c r="C341" s="43"/>
    </row>
    <row r="342">
      <c r="A342" s="23"/>
      <c r="B342" s="43"/>
      <c r="C342" s="43"/>
    </row>
    <row r="343">
      <c r="A343" s="23"/>
      <c r="B343" s="43"/>
      <c r="C343" s="43"/>
    </row>
    <row r="344">
      <c r="A344" s="23"/>
      <c r="B344" s="43"/>
      <c r="C344" s="43"/>
    </row>
    <row r="345">
      <c r="A345" s="23"/>
      <c r="B345" s="43"/>
      <c r="C345" s="43"/>
    </row>
    <row r="346">
      <c r="A346" s="23"/>
      <c r="B346" s="43"/>
      <c r="C346" s="43"/>
    </row>
    <row r="347">
      <c r="A347" s="23"/>
      <c r="B347" s="43"/>
      <c r="C347" s="43"/>
    </row>
    <row r="348">
      <c r="A348" s="23"/>
      <c r="B348" s="43"/>
      <c r="C348" s="43"/>
    </row>
    <row r="349">
      <c r="A349" s="23"/>
      <c r="B349" s="43"/>
      <c r="C349" s="43"/>
    </row>
    <row r="350">
      <c r="A350" s="23"/>
      <c r="B350" s="43"/>
      <c r="C350" s="43"/>
    </row>
    <row r="351">
      <c r="A351" s="23"/>
      <c r="B351" s="43"/>
      <c r="C351" s="43"/>
    </row>
    <row r="352">
      <c r="A352" s="23"/>
      <c r="B352" s="43"/>
      <c r="C352" s="43"/>
    </row>
    <row r="353">
      <c r="A353" s="23"/>
      <c r="B353" s="43"/>
      <c r="C353" s="43"/>
    </row>
    <row r="354">
      <c r="A354" s="23"/>
      <c r="B354" s="43"/>
      <c r="C354" s="43"/>
    </row>
    <row r="355">
      <c r="A355" s="23"/>
      <c r="B355" s="43"/>
      <c r="C355" s="43"/>
    </row>
    <row r="356">
      <c r="A356" s="23"/>
      <c r="B356" s="43"/>
      <c r="C356" s="43"/>
    </row>
    <row r="357">
      <c r="A357" s="23"/>
      <c r="B357" s="43"/>
      <c r="C357" s="43"/>
    </row>
    <row r="358">
      <c r="A358" s="23"/>
      <c r="B358" s="43"/>
      <c r="C358" s="43"/>
    </row>
    <row r="359">
      <c r="A359" s="23"/>
      <c r="B359" s="43"/>
      <c r="C359" s="43"/>
    </row>
    <row r="360">
      <c r="A360" s="23"/>
      <c r="B360" s="43"/>
      <c r="C360" s="43"/>
    </row>
    <row r="361">
      <c r="A361" s="23"/>
      <c r="B361" s="43"/>
      <c r="C361" s="43"/>
    </row>
    <row r="362">
      <c r="A362" s="23"/>
      <c r="B362" s="43"/>
      <c r="C362" s="43"/>
    </row>
    <row r="363">
      <c r="A363" s="23"/>
      <c r="B363" s="43"/>
      <c r="C363" s="43"/>
    </row>
    <row r="364">
      <c r="A364" s="23"/>
      <c r="B364" s="43"/>
      <c r="C364" s="43"/>
    </row>
    <row r="365">
      <c r="A365" s="23"/>
      <c r="B365" s="43"/>
      <c r="C365" s="43"/>
    </row>
    <row r="366">
      <c r="A366" s="23"/>
      <c r="B366" s="43"/>
      <c r="C366" s="43"/>
    </row>
    <row r="367">
      <c r="A367" s="23"/>
      <c r="B367" s="43"/>
      <c r="C367" s="43"/>
    </row>
    <row r="368">
      <c r="A368" s="23"/>
      <c r="B368" s="43"/>
      <c r="C368" s="43"/>
    </row>
    <row r="369">
      <c r="A369" s="23"/>
      <c r="B369" s="43"/>
      <c r="C369" s="43"/>
    </row>
    <row r="370">
      <c r="A370" s="23"/>
      <c r="B370" s="43"/>
      <c r="C370" s="43"/>
    </row>
    <row r="371">
      <c r="A371" s="23"/>
      <c r="B371" s="43"/>
      <c r="C371" s="43"/>
    </row>
    <row r="372">
      <c r="A372" s="23"/>
      <c r="B372" s="43"/>
      <c r="C372" s="43"/>
    </row>
    <row r="373">
      <c r="A373" s="23"/>
      <c r="B373" s="43"/>
      <c r="C373" s="43"/>
    </row>
    <row r="374">
      <c r="A374" s="23"/>
      <c r="B374" s="43"/>
      <c r="C374" s="43"/>
    </row>
    <row r="375">
      <c r="A375" s="23"/>
      <c r="B375" s="43"/>
      <c r="C375" s="43"/>
    </row>
    <row r="376">
      <c r="A376" s="23"/>
      <c r="B376" s="43"/>
      <c r="C376" s="43"/>
    </row>
    <row r="377">
      <c r="A377" s="23"/>
      <c r="B377" s="43"/>
      <c r="C377" s="43"/>
    </row>
    <row r="378">
      <c r="A378" s="23"/>
      <c r="B378" s="43"/>
      <c r="C378" s="43"/>
    </row>
    <row r="379">
      <c r="A379" s="23"/>
      <c r="B379" s="43"/>
      <c r="C379" s="43"/>
    </row>
    <row r="380">
      <c r="A380" s="23"/>
      <c r="B380" s="43"/>
      <c r="C380" s="43"/>
    </row>
    <row r="381">
      <c r="A381" s="23"/>
      <c r="B381" s="43"/>
      <c r="C381" s="43"/>
    </row>
    <row r="382">
      <c r="A382" s="23"/>
      <c r="B382" s="43"/>
      <c r="C382" s="43"/>
    </row>
    <row r="383">
      <c r="A383" s="23"/>
      <c r="B383" s="43"/>
      <c r="C383" s="43"/>
    </row>
    <row r="384">
      <c r="A384" s="23"/>
      <c r="B384" s="43"/>
      <c r="C384" s="43"/>
    </row>
    <row r="385">
      <c r="A385" s="23"/>
      <c r="B385" s="43"/>
      <c r="C385" s="43"/>
    </row>
    <row r="386">
      <c r="A386" s="23"/>
      <c r="B386" s="43"/>
      <c r="C386" s="43"/>
    </row>
    <row r="387">
      <c r="A387" s="23"/>
      <c r="B387" s="43"/>
      <c r="C387" s="43"/>
    </row>
    <row r="388">
      <c r="A388" s="23"/>
      <c r="B388" s="43"/>
      <c r="C388" s="43"/>
    </row>
    <row r="389">
      <c r="A389" s="23"/>
      <c r="B389" s="43"/>
      <c r="C389" s="43"/>
    </row>
    <row r="390">
      <c r="A390" s="23"/>
      <c r="B390" s="43"/>
      <c r="C390" s="43"/>
    </row>
    <row r="391">
      <c r="A391" s="23"/>
      <c r="B391" s="43"/>
      <c r="C391" s="43"/>
    </row>
    <row r="392">
      <c r="A392" s="23"/>
      <c r="B392" s="43"/>
      <c r="C392" s="43"/>
    </row>
    <row r="393">
      <c r="A393" s="23"/>
      <c r="B393" s="43"/>
      <c r="C393" s="43"/>
    </row>
    <row r="394">
      <c r="A394" s="23"/>
      <c r="B394" s="43"/>
      <c r="C394" s="43"/>
    </row>
    <row r="395">
      <c r="A395" s="23"/>
      <c r="B395" s="43"/>
      <c r="C395" s="43"/>
    </row>
    <row r="396">
      <c r="A396" s="23"/>
      <c r="B396" s="43"/>
      <c r="C396" s="43"/>
    </row>
    <row r="397">
      <c r="A397" s="23"/>
      <c r="B397" s="43"/>
      <c r="C397" s="43"/>
    </row>
    <row r="398">
      <c r="A398" s="23"/>
      <c r="B398" s="43"/>
      <c r="C398" s="43"/>
    </row>
    <row r="399">
      <c r="A399" s="23"/>
      <c r="B399" s="43"/>
      <c r="C399" s="43"/>
    </row>
    <row r="400">
      <c r="A400" s="23"/>
      <c r="B400" s="43"/>
      <c r="C400" s="43"/>
    </row>
    <row r="401">
      <c r="A401" s="23"/>
      <c r="B401" s="43"/>
      <c r="C401" s="43"/>
    </row>
    <row r="402">
      <c r="A402" s="23"/>
      <c r="B402" s="43"/>
      <c r="C402" s="43"/>
    </row>
    <row r="403">
      <c r="A403" s="23"/>
      <c r="B403" s="43"/>
      <c r="C403" s="43"/>
    </row>
    <row r="404">
      <c r="A404" s="23"/>
      <c r="B404" s="43"/>
      <c r="C404" s="43"/>
    </row>
    <row r="405">
      <c r="A405" s="23"/>
      <c r="B405" s="43"/>
      <c r="C405" s="43"/>
    </row>
    <row r="406">
      <c r="A406" s="23"/>
      <c r="B406" s="43"/>
      <c r="C406" s="43"/>
    </row>
    <row r="407">
      <c r="A407" s="23"/>
      <c r="B407" s="43"/>
      <c r="C407" s="43"/>
    </row>
    <row r="408">
      <c r="A408" s="23"/>
      <c r="B408" s="43"/>
      <c r="C408" s="43"/>
    </row>
    <row r="409">
      <c r="A409" s="23"/>
      <c r="B409" s="43"/>
      <c r="C409" s="43"/>
    </row>
    <row r="410">
      <c r="A410" s="23"/>
      <c r="B410" s="43"/>
      <c r="C410" s="43"/>
    </row>
    <row r="411">
      <c r="A411" s="23"/>
      <c r="B411" s="43"/>
      <c r="C411" s="43"/>
    </row>
    <row r="412">
      <c r="A412" s="23"/>
      <c r="B412" s="43"/>
      <c r="C412" s="43"/>
    </row>
    <row r="413">
      <c r="A413" s="23"/>
      <c r="B413" s="43"/>
      <c r="C413" s="43"/>
    </row>
    <row r="414">
      <c r="A414" s="23"/>
      <c r="B414" s="43"/>
      <c r="C414" s="43"/>
    </row>
    <row r="415">
      <c r="A415" s="23"/>
      <c r="B415" s="43"/>
      <c r="C415" s="43"/>
    </row>
    <row r="416">
      <c r="A416" s="23"/>
      <c r="B416" s="43"/>
      <c r="C416" s="43"/>
    </row>
    <row r="417">
      <c r="A417" s="23"/>
      <c r="B417" s="43"/>
      <c r="C417" s="43"/>
    </row>
    <row r="418">
      <c r="A418" s="23"/>
      <c r="B418" s="43"/>
      <c r="C418" s="43"/>
    </row>
    <row r="419">
      <c r="A419" s="23"/>
      <c r="B419" s="43"/>
      <c r="C419" s="43"/>
    </row>
    <row r="420">
      <c r="A420" s="23"/>
      <c r="B420" s="43"/>
      <c r="C420" s="43"/>
    </row>
    <row r="421">
      <c r="A421" s="23"/>
      <c r="B421" s="43"/>
      <c r="C421" s="43"/>
    </row>
    <row r="422">
      <c r="A422" s="23"/>
      <c r="B422" s="43"/>
      <c r="C422" s="43"/>
    </row>
    <row r="423">
      <c r="A423" s="23"/>
      <c r="B423" s="43"/>
      <c r="C423" s="43"/>
    </row>
    <row r="424">
      <c r="A424" s="23"/>
      <c r="B424" s="43"/>
      <c r="C424" s="43"/>
    </row>
    <row r="425">
      <c r="A425" s="23"/>
      <c r="B425" s="43"/>
      <c r="C425" s="43"/>
    </row>
    <row r="426">
      <c r="A426" s="23"/>
      <c r="B426" s="43"/>
      <c r="C426" s="43"/>
    </row>
    <row r="427">
      <c r="A427" s="23"/>
      <c r="B427" s="43"/>
      <c r="C427" s="43"/>
    </row>
    <row r="428">
      <c r="A428" s="23"/>
      <c r="B428" s="43"/>
      <c r="C428" s="43"/>
    </row>
    <row r="429">
      <c r="A429" s="23"/>
      <c r="B429" s="43"/>
      <c r="C429" s="43"/>
    </row>
    <row r="430">
      <c r="A430" s="23"/>
      <c r="B430" s="43"/>
      <c r="C430" s="43"/>
    </row>
    <row r="431">
      <c r="A431" s="23"/>
      <c r="B431" s="43"/>
      <c r="C431" s="43"/>
    </row>
    <row r="432">
      <c r="A432" s="23"/>
      <c r="B432" s="43"/>
      <c r="C432" s="43"/>
    </row>
    <row r="433">
      <c r="A433" s="23"/>
      <c r="B433" s="43"/>
      <c r="C433" s="43"/>
    </row>
    <row r="434">
      <c r="A434" s="23"/>
      <c r="B434" s="43"/>
      <c r="C434" s="43"/>
    </row>
    <row r="435">
      <c r="A435" s="23"/>
      <c r="B435" s="43"/>
      <c r="C435" s="43"/>
    </row>
    <row r="436">
      <c r="A436" s="23"/>
      <c r="B436" s="43"/>
      <c r="C436" s="43"/>
    </row>
    <row r="437">
      <c r="A437" s="23"/>
      <c r="B437" s="43"/>
      <c r="C437" s="43"/>
    </row>
    <row r="438">
      <c r="A438" s="23"/>
      <c r="B438" s="43"/>
      <c r="C438" s="43"/>
    </row>
    <row r="439">
      <c r="A439" s="23"/>
      <c r="B439" s="43"/>
      <c r="C439" s="43"/>
    </row>
    <row r="440">
      <c r="A440" s="23"/>
      <c r="B440" s="43"/>
      <c r="C440" s="43"/>
    </row>
    <row r="441">
      <c r="A441" s="23"/>
      <c r="B441" s="43"/>
      <c r="C441" s="43"/>
    </row>
    <row r="442">
      <c r="A442" s="23"/>
      <c r="B442" s="43"/>
      <c r="C442" s="43"/>
    </row>
    <row r="443">
      <c r="A443" s="23"/>
      <c r="B443" s="43"/>
      <c r="C443" s="43"/>
    </row>
    <row r="444">
      <c r="A444" s="23"/>
      <c r="B444" s="43"/>
      <c r="C444" s="43"/>
    </row>
    <row r="445">
      <c r="A445" s="23"/>
      <c r="B445" s="43"/>
      <c r="C445" s="43"/>
    </row>
    <row r="446">
      <c r="A446" s="23"/>
      <c r="B446" s="43"/>
      <c r="C446" s="43"/>
    </row>
    <row r="447">
      <c r="A447" s="23"/>
      <c r="B447" s="43"/>
      <c r="C447" s="43"/>
    </row>
    <row r="448">
      <c r="A448" s="23"/>
      <c r="B448" s="43"/>
      <c r="C448" s="43"/>
    </row>
    <row r="449">
      <c r="A449" s="23"/>
      <c r="B449" s="43"/>
      <c r="C449" s="43"/>
    </row>
    <row r="450">
      <c r="A450" s="23"/>
      <c r="B450" s="43"/>
      <c r="C450" s="43"/>
    </row>
    <row r="451">
      <c r="A451" s="23"/>
      <c r="B451" s="43"/>
      <c r="C451" s="43"/>
    </row>
    <row r="452">
      <c r="A452" s="23"/>
      <c r="B452" s="43"/>
      <c r="C452" s="43"/>
    </row>
    <row r="453">
      <c r="A453" s="23"/>
      <c r="B453" s="43"/>
      <c r="C453" s="43"/>
    </row>
    <row r="454">
      <c r="A454" s="23"/>
      <c r="B454" s="43"/>
      <c r="C454" s="43"/>
    </row>
    <row r="455">
      <c r="A455" s="23"/>
      <c r="B455" s="43"/>
      <c r="C455" s="43"/>
    </row>
    <row r="456">
      <c r="A456" s="23"/>
      <c r="B456" s="43"/>
      <c r="C456" s="43"/>
    </row>
    <row r="457">
      <c r="A457" s="23"/>
      <c r="B457" s="43"/>
      <c r="C457" s="43"/>
    </row>
    <row r="458">
      <c r="A458" s="23"/>
      <c r="B458" s="43"/>
      <c r="C458" s="43"/>
    </row>
    <row r="459">
      <c r="A459" s="23"/>
      <c r="B459" s="43"/>
      <c r="C459" s="43"/>
    </row>
    <row r="460">
      <c r="A460" s="23"/>
      <c r="B460" s="43"/>
      <c r="C460" s="43"/>
    </row>
    <row r="461">
      <c r="A461" s="23"/>
      <c r="B461" s="43"/>
      <c r="C461" s="43"/>
    </row>
    <row r="462">
      <c r="A462" s="23"/>
      <c r="B462" s="43"/>
      <c r="C462" s="43"/>
    </row>
    <row r="463">
      <c r="A463" s="23"/>
      <c r="B463" s="43"/>
      <c r="C463" s="43"/>
    </row>
    <row r="464">
      <c r="A464" s="23"/>
      <c r="B464" s="43"/>
      <c r="C464" s="43"/>
    </row>
    <row r="465">
      <c r="A465" s="23"/>
      <c r="B465" s="43"/>
      <c r="C465" s="43"/>
    </row>
    <row r="466">
      <c r="A466" s="23"/>
      <c r="B466" s="43"/>
      <c r="C466" s="43"/>
    </row>
    <row r="467">
      <c r="A467" s="23"/>
      <c r="B467" s="43"/>
      <c r="C467" s="43"/>
    </row>
    <row r="468">
      <c r="A468" s="23"/>
      <c r="B468" s="43"/>
      <c r="C468" s="43"/>
    </row>
    <row r="469">
      <c r="A469" s="23"/>
      <c r="B469" s="43"/>
      <c r="C469" s="43"/>
    </row>
    <row r="470">
      <c r="A470" s="23"/>
      <c r="B470" s="43"/>
      <c r="C470" s="43"/>
    </row>
    <row r="471">
      <c r="A471" s="23"/>
      <c r="B471" s="43"/>
      <c r="C471" s="43"/>
    </row>
    <row r="472">
      <c r="A472" s="23"/>
      <c r="B472" s="43"/>
      <c r="C472" s="43"/>
    </row>
    <row r="473">
      <c r="A473" s="23"/>
      <c r="B473" s="43"/>
      <c r="C473" s="43"/>
    </row>
    <row r="474">
      <c r="A474" s="23"/>
      <c r="B474" s="43"/>
      <c r="C474" s="43"/>
    </row>
    <row r="475">
      <c r="A475" s="23"/>
      <c r="B475" s="43"/>
      <c r="C475" s="43"/>
    </row>
    <row r="476">
      <c r="A476" s="23"/>
      <c r="B476" s="43"/>
      <c r="C476" s="43"/>
    </row>
    <row r="477">
      <c r="A477" s="23"/>
      <c r="B477" s="43"/>
      <c r="C477" s="43"/>
    </row>
    <row r="478">
      <c r="A478" s="23"/>
      <c r="B478" s="43"/>
      <c r="C478" s="43"/>
    </row>
    <row r="479">
      <c r="A479" s="23"/>
      <c r="B479" s="43"/>
      <c r="C479" s="43"/>
    </row>
    <row r="480">
      <c r="A480" s="23"/>
      <c r="B480" s="43"/>
      <c r="C480" s="43"/>
    </row>
    <row r="481">
      <c r="A481" s="23"/>
      <c r="B481" s="43"/>
      <c r="C481" s="43"/>
    </row>
    <row r="482">
      <c r="A482" s="23"/>
      <c r="B482" s="43"/>
      <c r="C482" s="43"/>
    </row>
    <row r="483">
      <c r="A483" s="23"/>
      <c r="B483" s="43"/>
      <c r="C483" s="43"/>
    </row>
    <row r="484">
      <c r="A484" s="23"/>
      <c r="B484" s="43"/>
      <c r="C484" s="43"/>
    </row>
    <row r="485">
      <c r="A485" s="23"/>
      <c r="B485" s="43"/>
      <c r="C485" s="43"/>
    </row>
    <row r="486">
      <c r="A486" s="23"/>
      <c r="B486" s="43"/>
      <c r="C486" s="43"/>
    </row>
    <row r="487">
      <c r="A487" s="23"/>
      <c r="B487" s="43"/>
      <c r="C487" s="43"/>
    </row>
    <row r="488">
      <c r="A488" s="23"/>
      <c r="B488" s="43"/>
      <c r="C488" s="43"/>
    </row>
    <row r="489">
      <c r="A489" s="23"/>
      <c r="B489" s="43"/>
      <c r="C489" s="43"/>
    </row>
    <row r="490">
      <c r="A490" s="23"/>
      <c r="B490" s="43"/>
      <c r="C490" s="43"/>
    </row>
    <row r="491">
      <c r="A491" s="23"/>
      <c r="B491" s="43"/>
      <c r="C491" s="43"/>
    </row>
    <row r="492">
      <c r="A492" s="23"/>
      <c r="B492" s="43"/>
      <c r="C492" s="43"/>
    </row>
    <row r="493">
      <c r="A493" s="23"/>
      <c r="B493" s="43"/>
      <c r="C493" s="43"/>
    </row>
    <row r="494">
      <c r="A494" s="23"/>
      <c r="B494" s="43"/>
      <c r="C494" s="43"/>
    </row>
    <row r="495">
      <c r="A495" s="23"/>
      <c r="B495" s="43"/>
      <c r="C495" s="43"/>
    </row>
    <row r="496">
      <c r="A496" s="23"/>
      <c r="B496" s="43"/>
      <c r="C496" s="43"/>
    </row>
    <row r="497">
      <c r="A497" s="23"/>
      <c r="B497" s="43"/>
      <c r="C497" s="43"/>
    </row>
    <row r="498">
      <c r="A498" s="23"/>
      <c r="B498" s="43"/>
      <c r="C498" s="43"/>
    </row>
    <row r="499">
      <c r="A499" s="23"/>
      <c r="B499" s="43"/>
      <c r="C499" s="43"/>
    </row>
    <row r="500">
      <c r="A500" s="23"/>
      <c r="B500" s="43"/>
      <c r="C500" s="43"/>
    </row>
    <row r="501">
      <c r="A501" s="23"/>
      <c r="B501" s="43"/>
      <c r="C501" s="43"/>
    </row>
    <row r="502">
      <c r="A502" s="23"/>
      <c r="B502" s="43"/>
      <c r="C502" s="43"/>
    </row>
    <row r="503">
      <c r="A503" s="23"/>
      <c r="B503" s="43"/>
      <c r="C503" s="43"/>
    </row>
    <row r="504">
      <c r="A504" s="23"/>
      <c r="B504" s="43"/>
      <c r="C504" s="43"/>
    </row>
    <row r="505">
      <c r="A505" s="23"/>
      <c r="B505" s="43"/>
      <c r="C505" s="43"/>
    </row>
    <row r="506">
      <c r="A506" s="23"/>
      <c r="B506" s="43"/>
      <c r="C506" s="43"/>
    </row>
    <row r="507">
      <c r="A507" s="23"/>
      <c r="B507" s="43"/>
      <c r="C507" s="43"/>
    </row>
    <row r="508">
      <c r="A508" s="23"/>
      <c r="B508" s="43"/>
      <c r="C508" s="43"/>
    </row>
    <row r="509">
      <c r="A509" s="23"/>
      <c r="B509" s="43"/>
      <c r="C509" s="43"/>
    </row>
    <row r="510">
      <c r="A510" s="23"/>
      <c r="B510" s="43"/>
      <c r="C510" s="43"/>
    </row>
    <row r="511">
      <c r="A511" s="23"/>
      <c r="B511" s="43"/>
      <c r="C511" s="43"/>
    </row>
    <row r="512">
      <c r="A512" s="23"/>
      <c r="B512" s="43"/>
      <c r="C512" s="43"/>
    </row>
    <row r="513">
      <c r="A513" s="23"/>
      <c r="B513" s="43"/>
      <c r="C513" s="43"/>
    </row>
    <row r="514">
      <c r="A514" s="23"/>
      <c r="B514" s="43"/>
      <c r="C514" s="43"/>
    </row>
    <row r="515">
      <c r="A515" s="23"/>
      <c r="B515" s="43"/>
      <c r="C515" s="43"/>
    </row>
    <row r="516">
      <c r="A516" s="23"/>
      <c r="B516" s="43"/>
      <c r="C516" s="43"/>
    </row>
    <row r="517">
      <c r="A517" s="23"/>
      <c r="B517" s="43"/>
      <c r="C517" s="43"/>
    </row>
    <row r="518">
      <c r="A518" s="23"/>
      <c r="B518" s="43"/>
      <c r="C518" s="43"/>
    </row>
    <row r="519">
      <c r="A519" s="23"/>
      <c r="B519" s="43"/>
      <c r="C519" s="43"/>
    </row>
    <row r="520">
      <c r="A520" s="23"/>
      <c r="B520" s="43"/>
      <c r="C520" s="43"/>
    </row>
    <row r="521">
      <c r="A521" s="23"/>
      <c r="B521" s="43"/>
      <c r="C521" s="43"/>
    </row>
    <row r="522">
      <c r="A522" s="23"/>
      <c r="B522" s="43"/>
      <c r="C522" s="43"/>
    </row>
    <row r="523">
      <c r="A523" s="23"/>
      <c r="B523" s="43"/>
      <c r="C523" s="43"/>
    </row>
    <row r="524">
      <c r="A524" s="23"/>
      <c r="B524" s="43"/>
      <c r="C524" s="43"/>
    </row>
    <row r="525">
      <c r="A525" s="23"/>
      <c r="B525" s="43"/>
      <c r="C525" s="43"/>
    </row>
    <row r="526">
      <c r="A526" s="23"/>
      <c r="B526" s="43"/>
      <c r="C526" s="43"/>
    </row>
    <row r="527">
      <c r="A527" s="23"/>
      <c r="B527" s="43"/>
      <c r="C527" s="43"/>
    </row>
    <row r="528">
      <c r="A528" s="23"/>
      <c r="B528" s="43"/>
      <c r="C528" s="43"/>
    </row>
    <row r="529">
      <c r="A529" s="23"/>
      <c r="B529" s="43"/>
      <c r="C529" s="43"/>
    </row>
    <row r="530">
      <c r="A530" s="23"/>
      <c r="B530" s="43"/>
      <c r="C530" s="43"/>
    </row>
    <row r="531">
      <c r="A531" s="23"/>
      <c r="B531" s="43"/>
      <c r="C531" s="43"/>
    </row>
    <row r="532">
      <c r="A532" s="23"/>
      <c r="B532" s="43"/>
      <c r="C532" s="43"/>
    </row>
    <row r="533">
      <c r="A533" s="23"/>
      <c r="B533" s="43"/>
      <c r="C533" s="43"/>
    </row>
    <row r="534">
      <c r="A534" s="23"/>
      <c r="B534" s="43"/>
      <c r="C534" s="43"/>
    </row>
    <row r="535">
      <c r="A535" s="23"/>
      <c r="B535" s="43"/>
      <c r="C535" s="43"/>
    </row>
    <row r="536">
      <c r="A536" s="23"/>
      <c r="B536" s="43"/>
      <c r="C536" s="43"/>
    </row>
    <row r="537">
      <c r="A537" s="23"/>
      <c r="B537" s="43"/>
      <c r="C537" s="43"/>
    </row>
    <row r="538">
      <c r="A538" s="23"/>
      <c r="B538" s="43"/>
      <c r="C538" s="43"/>
    </row>
    <row r="539">
      <c r="A539" s="23"/>
      <c r="B539" s="43"/>
      <c r="C539" s="43"/>
    </row>
    <row r="540">
      <c r="A540" s="23"/>
      <c r="B540" s="43"/>
      <c r="C540" s="43"/>
    </row>
    <row r="541">
      <c r="A541" s="23"/>
      <c r="B541" s="43"/>
      <c r="C541" s="43"/>
    </row>
    <row r="542">
      <c r="A542" s="23"/>
      <c r="B542" s="43"/>
      <c r="C542" s="43"/>
    </row>
    <row r="543">
      <c r="A543" s="23"/>
      <c r="B543" s="43"/>
      <c r="C543" s="43"/>
    </row>
    <row r="544">
      <c r="A544" s="23"/>
      <c r="B544" s="43"/>
      <c r="C544" s="43"/>
    </row>
    <row r="545">
      <c r="A545" s="23"/>
      <c r="B545" s="43"/>
      <c r="C545" s="43"/>
    </row>
    <row r="546">
      <c r="A546" s="23"/>
      <c r="B546" s="43"/>
      <c r="C546" s="43"/>
    </row>
    <row r="547">
      <c r="A547" s="23"/>
      <c r="B547" s="43"/>
      <c r="C547" s="43"/>
    </row>
    <row r="548">
      <c r="A548" s="23"/>
      <c r="B548" s="43"/>
      <c r="C548" s="43"/>
    </row>
    <row r="549">
      <c r="A549" s="23"/>
      <c r="B549" s="43"/>
      <c r="C549" s="43"/>
    </row>
    <row r="550">
      <c r="A550" s="23"/>
      <c r="B550" s="43"/>
      <c r="C550" s="43"/>
    </row>
    <row r="551">
      <c r="A551" s="23"/>
      <c r="B551" s="43"/>
      <c r="C551" s="43"/>
    </row>
    <row r="552">
      <c r="A552" s="23"/>
      <c r="B552" s="43"/>
      <c r="C552" s="43"/>
    </row>
    <row r="553">
      <c r="A553" s="23"/>
      <c r="B553" s="43"/>
      <c r="C553" s="43"/>
    </row>
    <row r="554">
      <c r="A554" s="23"/>
      <c r="B554" s="43"/>
      <c r="C554" s="43"/>
    </row>
    <row r="555">
      <c r="A555" s="23"/>
      <c r="B555" s="43"/>
      <c r="C555" s="43"/>
    </row>
    <row r="556">
      <c r="A556" s="23"/>
      <c r="B556" s="43"/>
      <c r="C556" s="43"/>
    </row>
    <row r="557">
      <c r="A557" s="23"/>
      <c r="B557" s="43"/>
      <c r="C557" s="43"/>
    </row>
    <row r="558">
      <c r="A558" s="23"/>
      <c r="B558" s="43"/>
      <c r="C558" s="43"/>
    </row>
    <row r="559">
      <c r="A559" s="23"/>
      <c r="B559" s="43"/>
      <c r="C559" s="43"/>
    </row>
    <row r="560">
      <c r="A560" s="23"/>
      <c r="B560" s="43"/>
      <c r="C560" s="43"/>
    </row>
    <row r="561">
      <c r="A561" s="23"/>
      <c r="B561" s="43"/>
      <c r="C561" s="43"/>
    </row>
    <row r="562">
      <c r="A562" s="23"/>
      <c r="B562" s="43"/>
      <c r="C562" s="43"/>
    </row>
    <row r="563">
      <c r="A563" s="23"/>
      <c r="B563" s="43"/>
      <c r="C563" s="43"/>
    </row>
    <row r="564">
      <c r="A564" s="23"/>
      <c r="B564" s="43"/>
      <c r="C564" s="43"/>
    </row>
    <row r="565">
      <c r="A565" s="23"/>
      <c r="B565" s="43"/>
      <c r="C565" s="43"/>
    </row>
    <row r="566">
      <c r="A566" s="23"/>
      <c r="B566" s="43"/>
      <c r="C566" s="43"/>
    </row>
    <row r="567">
      <c r="A567" s="23"/>
      <c r="B567" s="43"/>
      <c r="C567" s="43"/>
    </row>
    <row r="568">
      <c r="A568" s="23"/>
      <c r="B568" s="43"/>
      <c r="C568" s="43"/>
    </row>
    <row r="569">
      <c r="A569" s="23"/>
      <c r="B569" s="43"/>
      <c r="C569" s="43"/>
    </row>
    <row r="570">
      <c r="A570" s="23"/>
      <c r="B570" s="43"/>
      <c r="C570" s="43"/>
    </row>
    <row r="571">
      <c r="A571" s="23"/>
      <c r="B571" s="43"/>
      <c r="C571" s="43"/>
    </row>
    <row r="572">
      <c r="A572" s="23"/>
      <c r="B572" s="43"/>
      <c r="C572" s="43"/>
    </row>
    <row r="573">
      <c r="A573" s="23"/>
      <c r="B573" s="43"/>
      <c r="C573" s="43"/>
    </row>
    <row r="574">
      <c r="A574" s="23"/>
      <c r="B574" s="43"/>
      <c r="C574" s="43"/>
    </row>
    <row r="575">
      <c r="A575" s="23"/>
      <c r="B575" s="43"/>
      <c r="C575" s="43"/>
    </row>
    <row r="576">
      <c r="A576" s="23"/>
      <c r="B576" s="43"/>
      <c r="C576" s="43"/>
    </row>
    <row r="577">
      <c r="A577" s="23"/>
      <c r="B577" s="43"/>
      <c r="C577" s="43"/>
    </row>
    <row r="578">
      <c r="A578" s="23"/>
      <c r="B578" s="43"/>
      <c r="C578" s="43"/>
    </row>
    <row r="579">
      <c r="A579" s="23"/>
      <c r="B579" s="43"/>
      <c r="C579" s="43"/>
    </row>
    <row r="580">
      <c r="A580" s="23"/>
      <c r="B580" s="43"/>
      <c r="C580" s="43"/>
    </row>
    <row r="581">
      <c r="A581" s="23"/>
      <c r="B581" s="43"/>
      <c r="C581" s="43"/>
    </row>
    <row r="582">
      <c r="A582" s="23"/>
      <c r="B582" s="43"/>
      <c r="C582" s="43"/>
    </row>
    <row r="583">
      <c r="A583" s="23"/>
      <c r="B583" s="43"/>
      <c r="C583" s="43"/>
    </row>
    <row r="584">
      <c r="A584" s="23"/>
      <c r="B584" s="43"/>
      <c r="C584" s="43"/>
    </row>
    <row r="585">
      <c r="A585" s="23"/>
      <c r="B585" s="43"/>
      <c r="C585" s="43"/>
    </row>
    <row r="586">
      <c r="A586" s="23"/>
      <c r="B586" s="43"/>
      <c r="C586" s="43"/>
    </row>
    <row r="587">
      <c r="A587" s="23"/>
      <c r="B587" s="43"/>
      <c r="C587" s="43"/>
    </row>
    <row r="588">
      <c r="A588" s="23"/>
      <c r="B588" s="43"/>
      <c r="C588" s="43"/>
    </row>
    <row r="589">
      <c r="A589" s="23"/>
      <c r="B589" s="43"/>
      <c r="C589" s="43"/>
    </row>
    <row r="590">
      <c r="A590" s="23"/>
      <c r="B590" s="43"/>
      <c r="C590" s="43"/>
    </row>
    <row r="591">
      <c r="A591" s="23"/>
      <c r="B591" s="43"/>
      <c r="C591" s="43"/>
    </row>
    <row r="592">
      <c r="A592" s="23"/>
      <c r="B592" s="43"/>
      <c r="C592" s="43"/>
    </row>
    <row r="593">
      <c r="A593" s="23"/>
      <c r="B593" s="43"/>
      <c r="C593" s="43"/>
    </row>
    <row r="594">
      <c r="A594" s="23"/>
      <c r="B594" s="43"/>
      <c r="C594" s="43"/>
    </row>
    <row r="595">
      <c r="A595" s="23"/>
      <c r="B595" s="43"/>
      <c r="C595" s="43"/>
    </row>
    <row r="596">
      <c r="A596" s="23"/>
      <c r="B596" s="43"/>
      <c r="C596" s="43"/>
    </row>
    <row r="597">
      <c r="A597" s="23"/>
      <c r="B597" s="43"/>
      <c r="C597" s="43"/>
    </row>
    <row r="598">
      <c r="A598" s="23"/>
      <c r="B598" s="43"/>
      <c r="C598" s="43"/>
    </row>
    <row r="599">
      <c r="A599" s="23"/>
      <c r="B599" s="43"/>
      <c r="C599" s="43"/>
    </row>
    <row r="600">
      <c r="A600" s="23"/>
      <c r="B600" s="43"/>
      <c r="C600" s="43"/>
    </row>
    <row r="601">
      <c r="A601" s="23"/>
      <c r="B601" s="43"/>
      <c r="C601" s="43"/>
    </row>
    <row r="602">
      <c r="A602" s="23"/>
      <c r="B602" s="43"/>
      <c r="C602" s="43"/>
    </row>
    <row r="603">
      <c r="A603" s="23"/>
      <c r="B603" s="43"/>
      <c r="C603" s="43"/>
    </row>
    <row r="604">
      <c r="A604" s="23"/>
      <c r="B604" s="43"/>
      <c r="C604" s="43"/>
    </row>
    <row r="605">
      <c r="A605" s="23"/>
      <c r="B605" s="43"/>
      <c r="C605" s="43"/>
    </row>
    <row r="606">
      <c r="A606" s="23"/>
      <c r="B606" s="43"/>
      <c r="C606" s="43"/>
    </row>
    <row r="607">
      <c r="A607" s="23"/>
      <c r="B607" s="43"/>
      <c r="C607" s="43"/>
    </row>
    <row r="608">
      <c r="A608" s="23"/>
      <c r="B608" s="43"/>
      <c r="C608" s="43"/>
    </row>
    <row r="609">
      <c r="A609" s="23"/>
      <c r="B609" s="43"/>
      <c r="C609" s="43"/>
    </row>
    <row r="610">
      <c r="A610" s="23"/>
      <c r="B610" s="43"/>
      <c r="C610" s="43"/>
    </row>
    <row r="611">
      <c r="A611" s="23"/>
      <c r="B611" s="43"/>
      <c r="C611" s="43"/>
    </row>
    <row r="612">
      <c r="A612" s="23"/>
      <c r="B612" s="43"/>
      <c r="C612" s="43"/>
    </row>
    <row r="613">
      <c r="A613" s="23"/>
      <c r="B613" s="43"/>
      <c r="C613" s="43"/>
    </row>
    <row r="614">
      <c r="A614" s="23"/>
      <c r="B614" s="43"/>
      <c r="C614" s="43"/>
    </row>
    <row r="615">
      <c r="A615" s="23"/>
      <c r="B615" s="43"/>
      <c r="C615" s="43"/>
    </row>
    <row r="616">
      <c r="A616" s="23"/>
      <c r="B616" s="43"/>
      <c r="C616" s="43"/>
    </row>
    <row r="617">
      <c r="A617" s="23"/>
      <c r="B617" s="43"/>
      <c r="C617" s="43"/>
    </row>
    <row r="618">
      <c r="A618" s="23"/>
      <c r="B618" s="43"/>
      <c r="C618" s="43"/>
    </row>
    <row r="619">
      <c r="A619" s="23"/>
      <c r="B619" s="43"/>
      <c r="C619" s="43"/>
    </row>
    <row r="620">
      <c r="A620" s="23"/>
      <c r="B620" s="43"/>
      <c r="C620" s="43"/>
    </row>
    <row r="621">
      <c r="A621" s="23"/>
      <c r="B621" s="43"/>
      <c r="C621" s="43"/>
    </row>
    <row r="622">
      <c r="A622" s="23"/>
      <c r="B622" s="43"/>
      <c r="C622" s="43"/>
    </row>
    <row r="623">
      <c r="A623" s="23"/>
      <c r="B623" s="43"/>
      <c r="C623" s="43"/>
    </row>
    <row r="624">
      <c r="A624" s="23"/>
      <c r="B624" s="43"/>
      <c r="C624" s="43"/>
    </row>
    <row r="625">
      <c r="A625" s="23"/>
      <c r="B625" s="43"/>
      <c r="C625" s="43"/>
    </row>
    <row r="626">
      <c r="A626" s="23"/>
      <c r="B626" s="43"/>
      <c r="C626" s="43"/>
    </row>
    <row r="627">
      <c r="A627" s="23"/>
      <c r="B627" s="43"/>
      <c r="C627" s="43"/>
    </row>
    <row r="628">
      <c r="A628" s="23"/>
      <c r="B628" s="43"/>
      <c r="C628" s="43"/>
    </row>
    <row r="629">
      <c r="A629" s="23"/>
      <c r="B629" s="43"/>
      <c r="C629" s="43"/>
    </row>
    <row r="630">
      <c r="A630" s="23"/>
      <c r="B630" s="43"/>
      <c r="C630" s="43"/>
    </row>
    <row r="631">
      <c r="A631" s="23"/>
      <c r="B631" s="43"/>
      <c r="C631" s="43"/>
    </row>
    <row r="632">
      <c r="A632" s="23"/>
      <c r="B632" s="43"/>
      <c r="C632" s="43"/>
    </row>
    <row r="633">
      <c r="A633" s="23"/>
      <c r="B633" s="43"/>
      <c r="C633" s="43"/>
    </row>
    <row r="634">
      <c r="A634" s="23"/>
      <c r="B634" s="43"/>
      <c r="C634" s="43"/>
    </row>
    <row r="635">
      <c r="A635" s="23"/>
      <c r="B635" s="43"/>
      <c r="C635" s="43"/>
    </row>
    <row r="636">
      <c r="A636" s="23"/>
      <c r="B636" s="43"/>
      <c r="C636" s="43"/>
    </row>
    <row r="637">
      <c r="A637" s="23"/>
      <c r="B637" s="43"/>
      <c r="C637" s="43"/>
    </row>
    <row r="638">
      <c r="A638" s="23"/>
      <c r="B638" s="43"/>
      <c r="C638" s="43"/>
    </row>
    <row r="639">
      <c r="A639" s="23"/>
      <c r="B639" s="43"/>
      <c r="C639" s="43"/>
    </row>
    <row r="640">
      <c r="A640" s="23"/>
      <c r="B640" s="43"/>
      <c r="C640" s="43"/>
    </row>
    <row r="641">
      <c r="A641" s="23"/>
      <c r="B641" s="43"/>
      <c r="C641" s="43"/>
    </row>
    <row r="642">
      <c r="A642" s="23"/>
      <c r="B642" s="43"/>
      <c r="C642" s="43"/>
    </row>
    <row r="643">
      <c r="A643" s="23"/>
      <c r="B643" s="43"/>
      <c r="C643" s="43"/>
    </row>
    <row r="644">
      <c r="A644" s="23"/>
      <c r="B644" s="43"/>
      <c r="C644" s="43"/>
    </row>
    <row r="645">
      <c r="A645" s="23"/>
      <c r="B645" s="43"/>
      <c r="C645" s="43"/>
    </row>
    <row r="646">
      <c r="A646" s="23"/>
      <c r="B646" s="43"/>
      <c r="C646" s="43"/>
    </row>
    <row r="647">
      <c r="A647" s="23"/>
      <c r="B647" s="43"/>
      <c r="C647" s="43"/>
    </row>
    <row r="648">
      <c r="A648" s="23"/>
      <c r="B648" s="43"/>
      <c r="C648" s="43"/>
    </row>
    <row r="649">
      <c r="A649" s="23"/>
      <c r="B649" s="43"/>
      <c r="C649" s="43"/>
    </row>
    <row r="650">
      <c r="A650" s="23"/>
      <c r="B650" s="43"/>
      <c r="C650" s="43"/>
    </row>
    <row r="651">
      <c r="A651" s="23"/>
      <c r="B651" s="43"/>
      <c r="C651" s="43"/>
    </row>
    <row r="652">
      <c r="A652" s="23"/>
      <c r="B652" s="43"/>
      <c r="C652" s="43"/>
    </row>
    <row r="653">
      <c r="A653" s="23"/>
      <c r="B653" s="43"/>
      <c r="C653" s="43"/>
    </row>
    <row r="654">
      <c r="A654" s="23"/>
      <c r="B654" s="43"/>
      <c r="C654" s="43"/>
    </row>
    <row r="655">
      <c r="A655" s="23"/>
      <c r="B655" s="43"/>
      <c r="C655" s="43"/>
    </row>
    <row r="656">
      <c r="A656" s="23"/>
      <c r="B656" s="43"/>
      <c r="C656" s="43"/>
    </row>
    <row r="657">
      <c r="A657" s="23"/>
      <c r="B657" s="43"/>
      <c r="C657" s="43"/>
    </row>
    <row r="658">
      <c r="A658" s="23"/>
      <c r="B658" s="43"/>
      <c r="C658" s="43"/>
    </row>
    <row r="659">
      <c r="A659" s="23"/>
      <c r="B659" s="43"/>
      <c r="C659" s="43"/>
    </row>
    <row r="660">
      <c r="A660" s="23"/>
      <c r="B660" s="43"/>
      <c r="C660" s="43"/>
    </row>
    <row r="661">
      <c r="A661" s="23"/>
      <c r="B661" s="43"/>
      <c r="C661" s="43"/>
    </row>
    <row r="662">
      <c r="A662" s="23"/>
      <c r="B662" s="43"/>
      <c r="C662" s="43"/>
    </row>
    <row r="663">
      <c r="A663" s="23"/>
      <c r="B663" s="43"/>
      <c r="C663" s="43"/>
    </row>
    <row r="664">
      <c r="A664" s="23"/>
      <c r="B664" s="43"/>
      <c r="C664" s="43"/>
    </row>
    <row r="665">
      <c r="A665" s="23"/>
      <c r="B665" s="43"/>
      <c r="C665" s="43"/>
    </row>
    <row r="666">
      <c r="A666" s="23"/>
      <c r="B666" s="43"/>
      <c r="C666" s="43"/>
    </row>
    <row r="667">
      <c r="A667" s="23"/>
      <c r="B667" s="43"/>
      <c r="C667" s="43"/>
    </row>
    <row r="668">
      <c r="A668" s="23"/>
      <c r="B668" s="43"/>
      <c r="C668" s="43"/>
    </row>
    <row r="669">
      <c r="A669" s="23"/>
      <c r="B669" s="43"/>
      <c r="C669" s="43"/>
    </row>
    <row r="670">
      <c r="A670" s="23"/>
      <c r="B670" s="43"/>
      <c r="C670" s="43"/>
    </row>
    <row r="671">
      <c r="A671" s="23"/>
      <c r="B671" s="43"/>
      <c r="C671" s="43"/>
    </row>
    <row r="672">
      <c r="A672" s="23"/>
      <c r="B672" s="43"/>
      <c r="C672" s="43"/>
    </row>
    <row r="673">
      <c r="A673" s="23"/>
      <c r="B673" s="43"/>
      <c r="C673" s="43"/>
    </row>
    <row r="674">
      <c r="A674" s="23"/>
      <c r="B674" s="43"/>
      <c r="C674" s="43"/>
    </row>
    <row r="675">
      <c r="A675" s="23"/>
      <c r="B675" s="43"/>
      <c r="C675" s="43"/>
    </row>
    <row r="676">
      <c r="A676" s="23"/>
      <c r="B676" s="43"/>
      <c r="C676" s="43"/>
    </row>
    <row r="677">
      <c r="A677" s="23"/>
      <c r="B677" s="43"/>
      <c r="C677" s="43"/>
    </row>
    <row r="678">
      <c r="A678" s="23"/>
      <c r="B678" s="43"/>
      <c r="C678" s="43"/>
    </row>
    <row r="679">
      <c r="A679" s="23"/>
      <c r="B679" s="43"/>
      <c r="C679" s="43"/>
    </row>
    <row r="680">
      <c r="A680" s="23"/>
      <c r="B680" s="43"/>
      <c r="C680" s="43"/>
    </row>
    <row r="681">
      <c r="A681" s="23"/>
      <c r="B681" s="43"/>
      <c r="C681" s="43"/>
    </row>
    <row r="682">
      <c r="A682" s="23"/>
      <c r="B682" s="43"/>
      <c r="C682" s="43"/>
    </row>
    <row r="683">
      <c r="A683" s="23"/>
      <c r="B683" s="43"/>
      <c r="C683" s="43"/>
    </row>
    <row r="684">
      <c r="A684" s="23"/>
      <c r="B684" s="43"/>
      <c r="C684" s="43"/>
    </row>
    <row r="685">
      <c r="A685" s="23"/>
      <c r="B685" s="43"/>
      <c r="C685" s="43"/>
    </row>
    <row r="686">
      <c r="A686" s="23"/>
      <c r="B686" s="43"/>
      <c r="C686" s="43"/>
    </row>
    <row r="687">
      <c r="A687" s="23"/>
      <c r="B687" s="43"/>
      <c r="C687" s="43"/>
    </row>
    <row r="688">
      <c r="A688" s="23"/>
      <c r="B688" s="43"/>
      <c r="C688" s="43"/>
    </row>
    <row r="689">
      <c r="A689" s="23"/>
      <c r="B689" s="43"/>
      <c r="C689" s="43"/>
    </row>
    <row r="690">
      <c r="A690" s="23"/>
      <c r="B690" s="43"/>
      <c r="C690" s="43"/>
    </row>
    <row r="691">
      <c r="A691" s="23"/>
      <c r="B691" s="43"/>
      <c r="C691" s="43"/>
    </row>
    <row r="692">
      <c r="A692" s="23"/>
      <c r="B692" s="43"/>
      <c r="C692" s="43"/>
    </row>
    <row r="693">
      <c r="A693" s="23"/>
      <c r="B693" s="43"/>
      <c r="C693" s="43"/>
    </row>
    <row r="694">
      <c r="A694" s="23"/>
      <c r="B694" s="43"/>
      <c r="C694" s="43"/>
    </row>
    <row r="695">
      <c r="A695" s="23"/>
      <c r="B695" s="43"/>
      <c r="C695" s="43"/>
    </row>
    <row r="696">
      <c r="A696" s="23"/>
      <c r="B696" s="43"/>
      <c r="C696" s="43"/>
    </row>
    <row r="697">
      <c r="A697" s="23"/>
      <c r="B697" s="43"/>
      <c r="C697" s="43"/>
    </row>
    <row r="698">
      <c r="A698" s="23"/>
      <c r="B698" s="43"/>
      <c r="C698" s="43"/>
    </row>
    <row r="699">
      <c r="A699" s="23"/>
      <c r="B699" s="43"/>
      <c r="C699" s="43"/>
    </row>
    <row r="700">
      <c r="A700" s="23"/>
      <c r="B700" s="43"/>
      <c r="C700" s="43"/>
    </row>
    <row r="701">
      <c r="A701" s="23"/>
      <c r="B701" s="43"/>
      <c r="C701" s="43"/>
    </row>
    <row r="702">
      <c r="A702" s="23"/>
      <c r="B702" s="43"/>
      <c r="C702" s="43"/>
    </row>
    <row r="703">
      <c r="A703" s="23"/>
      <c r="B703" s="43"/>
      <c r="C703" s="43"/>
    </row>
    <row r="704">
      <c r="A704" s="23"/>
      <c r="B704" s="43"/>
      <c r="C704" s="43"/>
    </row>
    <row r="705">
      <c r="A705" s="23"/>
      <c r="B705" s="43"/>
      <c r="C705" s="43"/>
    </row>
    <row r="706">
      <c r="A706" s="23"/>
      <c r="B706" s="43"/>
      <c r="C706" s="43"/>
    </row>
    <row r="707">
      <c r="A707" s="23"/>
      <c r="B707" s="43"/>
      <c r="C707" s="43"/>
    </row>
    <row r="708">
      <c r="A708" s="23"/>
      <c r="B708" s="43"/>
      <c r="C708" s="43"/>
    </row>
    <row r="709">
      <c r="A709" s="23"/>
      <c r="B709" s="43"/>
      <c r="C709" s="43"/>
    </row>
    <row r="710">
      <c r="A710" s="23"/>
      <c r="B710" s="43"/>
      <c r="C710" s="43"/>
    </row>
    <row r="711">
      <c r="A711" s="23"/>
      <c r="B711" s="43"/>
      <c r="C711" s="43"/>
    </row>
    <row r="712">
      <c r="A712" s="23"/>
      <c r="B712" s="43"/>
      <c r="C712" s="43"/>
    </row>
    <row r="713">
      <c r="A713" s="23"/>
      <c r="B713" s="43"/>
      <c r="C713" s="43"/>
    </row>
    <row r="714">
      <c r="A714" s="23"/>
      <c r="B714" s="43"/>
      <c r="C714" s="43"/>
    </row>
    <row r="715">
      <c r="A715" s="23"/>
      <c r="B715" s="43"/>
      <c r="C715" s="43"/>
    </row>
    <row r="716">
      <c r="A716" s="23"/>
      <c r="B716" s="43"/>
      <c r="C716" s="43"/>
    </row>
    <row r="717">
      <c r="A717" s="23"/>
      <c r="B717" s="43"/>
      <c r="C717" s="43"/>
    </row>
    <row r="718">
      <c r="A718" s="23"/>
      <c r="B718" s="43"/>
      <c r="C718" s="43"/>
    </row>
    <row r="719">
      <c r="A719" s="23"/>
      <c r="B719" s="43"/>
      <c r="C719" s="43"/>
    </row>
    <row r="720">
      <c r="A720" s="23"/>
      <c r="B720" s="43"/>
      <c r="C720" s="43"/>
    </row>
    <row r="721">
      <c r="A721" s="23"/>
      <c r="B721" s="43"/>
      <c r="C721" s="43"/>
    </row>
    <row r="722">
      <c r="A722" s="23"/>
      <c r="B722" s="43"/>
      <c r="C722" s="43"/>
    </row>
    <row r="723">
      <c r="A723" s="23"/>
      <c r="B723" s="43"/>
      <c r="C723" s="43"/>
    </row>
    <row r="724">
      <c r="A724" s="23"/>
      <c r="B724" s="43"/>
      <c r="C724" s="43"/>
    </row>
    <row r="725">
      <c r="A725" s="23"/>
      <c r="B725" s="43"/>
      <c r="C725" s="43"/>
    </row>
    <row r="726">
      <c r="A726" s="23"/>
      <c r="B726" s="43"/>
      <c r="C726" s="43"/>
    </row>
    <row r="727">
      <c r="A727" s="23"/>
      <c r="B727" s="43"/>
      <c r="C727" s="43"/>
    </row>
    <row r="728">
      <c r="A728" s="23"/>
      <c r="B728" s="43"/>
      <c r="C728" s="43"/>
    </row>
    <row r="729">
      <c r="A729" s="23"/>
      <c r="B729" s="43"/>
      <c r="C729" s="43"/>
    </row>
    <row r="730">
      <c r="A730" s="23"/>
      <c r="B730" s="43"/>
      <c r="C730" s="43"/>
    </row>
    <row r="731">
      <c r="A731" s="23"/>
      <c r="B731" s="43"/>
      <c r="C731" s="43"/>
    </row>
    <row r="732">
      <c r="A732" s="23"/>
      <c r="B732" s="43"/>
      <c r="C732" s="43"/>
    </row>
    <row r="733">
      <c r="A733" s="23"/>
      <c r="B733" s="43"/>
      <c r="C733" s="43"/>
    </row>
    <row r="734">
      <c r="A734" s="23"/>
      <c r="B734" s="43"/>
      <c r="C734" s="43"/>
    </row>
    <row r="735">
      <c r="A735" s="23"/>
      <c r="B735" s="43"/>
      <c r="C735" s="43"/>
    </row>
    <row r="736">
      <c r="A736" s="23"/>
      <c r="B736" s="43"/>
      <c r="C736" s="43"/>
    </row>
    <row r="737">
      <c r="A737" s="23"/>
      <c r="B737" s="43"/>
      <c r="C737" s="43"/>
    </row>
    <row r="738">
      <c r="A738" s="23"/>
      <c r="B738" s="43"/>
      <c r="C738" s="43"/>
    </row>
    <row r="739">
      <c r="A739" s="23"/>
      <c r="B739" s="43"/>
      <c r="C739" s="43"/>
    </row>
    <row r="740">
      <c r="A740" s="23"/>
      <c r="B740" s="43"/>
      <c r="C740" s="43"/>
    </row>
    <row r="741">
      <c r="A741" s="23"/>
      <c r="B741" s="43"/>
      <c r="C741" s="43"/>
    </row>
    <row r="742">
      <c r="A742" s="23"/>
      <c r="B742" s="43"/>
      <c r="C742" s="43"/>
    </row>
    <row r="743">
      <c r="A743" s="23"/>
      <c r="B743" s="43"/>
      <c r="C743" s="43"/>
    </row>
    <row r="744">
      <c r="A744" s="23"/>
      <c r="B744" s="43"/>
      <c r="C744" s="43"/>
    </row>
    <row r="745">
      <c r="A745" s="23"/>
      <c r="B745" s="43"/>
      <c r="C745" s="43"/>
    </row>
    <row r="746">
      <c r="A746" s="23"/>
      <c r="B746" s="43"/>
      <c r="C746" s="43"/>
    </row>
    <row r="747">
      <c r="A747" s="23"/>
      <c r="B747" s="43"/>
      <c r="C747" s="43"/>
    </row>
    <row r="748">
      <c r="A748" s="23"/>
      <c r="B748" s="43"/>
      <c r="C748" s="43"/>
    </row>
    <row r="749">
      <c r="A749" s="23"/>
      <c r="B749" s="43"/>
      <c r="C749" s="43"/>
    </row>
    <row r="750">
      <c r="A750" s="23"/>
      <c r="B750" s="43"/>
      <c r="C750" s="43"/>
    </row>
    <row r="751">
      <c r="A751" s="23"/>
      <c r="B751" s="43"/>
      <c r="C751" s="43"/>
    </row>
    <row r="752">
      <c r="A752" s="23"/>
      <c r="B752" s="43"/>
      <c r="C752" s="43"/>
    </row>
    <row r="753">
      <c r="A753" s="23"/>
      <c r="B753" s="43"/>
      <c r="C753" s="43"/>
    </row>
    <row r="754">
      <c r="A754" s="23"/>
      <c r="B754" s="43"/>
      <c r="C754" s="43"/>
    </row>
    <row r="755">
      <c r="A755" s="23"/>
      <c r="B755" s="43"/>
      <c r="C755" s="43"/>
    </row>
    <row r="756">
      <c r="A756" s="23"/>
      <c r="B756" s="43"/>
      <c r="C756" s="43"/>
    </row>
    <row r="757">
      <c r="A757" s="23"/>
      <c r="B757" s="43"/>
      <c r="C757" s="43"/>
    </row>
    <row r="758">
      <c r="A758" s="23"/>
      <c r="B758" s="43"/>
      <c r="C758" s="43"/>
    </row>
    <row r="759">
      <c r="A759" s="23"/>
      <c r="B759" s="43"/>
      <c r="C759" s="43"/>
    </row>
    <row r="760">
      <c r="A760" s="23"/>
      <c r="B760" s="43"/>
      <c r="C760" s="43"/>
    </row>
    <row r="761">
      <c r="A761" s="23"/>
      <c r="B761" s="43"/>
      <c r="C761" s="43"/>
    </row>
    <row r="762">
      <c r="A762" s="23"/>
      <c r="B762" s="43"/>
      <c r="C762" s="43"/>
    </row>
    <row r="763">
      <c r="A763" s="23"/>
      <c r="B763" s="43"/>
      <c r="C763" s="43"/>
    </row>
    <row r="764">
      <c r="A764" s="23"/>
      <c r="B764" s="43"/>
      <c r="C764" s="43"/>
    </row>
    <row r="765">
      <c r="A765" s="23"/>
      <c r="B765" s="43"/>
      <c r="C765" s="43"/>
    </row>
    <row r="766">
      <c r="A766" s="23"/>
      <c r="B766" s="43"/>
      <c r="C766" s="43"/>
    </row>
    <row r="767">
      <c r="A767" s="23"/>
      <c r="B767" s="43"/>
      <c r="C767" s="43"/>
    </row>
    <row r="768">
      <c r="A768" s="23"/>
      <c r="B768" s="43"/>
      <c r="C768" s="43"/>
    </row>
    <row r="769">
      <c r="A769" s="23"/>
      <c r="B769" s="43"/>
      <c r="C769" s="43"/>
    </row>
    <row r="770">
      <c r="A770" s="23"/>
      <c r="B770" s="43"/>
      <c r="C770" s="43"/>
    </row>
    <row r="771">
      <c r="A771" s="23"/>
      <c r="B771" s="43"/>
      <c r="C771" s="43"/>
    </row>
    <row r="772">
      <c r="A772" s="23"/>
      <c r="B772" s="43"/>
      <c r="C772" s="43"/>
    </row>
    <row r="773">
      <c r="A773" s="23"/>
      <c r="B773" s="43"/>
      <c r="C773" s="43"/>
    </row>
    <row r="774">
      <c r="A774" s="23"/>
      <c r="B774" s="43"/>
      <c r="C774" s="43"/>
    </row>
    <row r="775">
      <c r="A775" s="23"/>
      <c r="B775" s="43"/>
      <c r="C775" s="43"/>
    </row>
    <row r="776">
      <c r="A776" s="23"/>
      <c r="B776" s="43"/>
      <c r="C776" s="43"/>
    </row>
    <row r="777">
      <c r="A777" s="23"/>
      <c r="B777" s="43"/>
      <c r="C777" s="43"/>
    </row>
    <row r="778">
      <c r="A778" s="23"/>
      <c r="B778" s="43"/>
      <c r="C778" s="43"/>
    </row>
    <row r="779">
      <c r="A779" s="23"/>
      <c r="B779" s="43"/>
      <c r="C779" s="43"/>
    </row>
    <row r="780">
      <c r="A780" s="23"/>
      <c r="B780" s="43"/>
      <c r="C780" s="43"/>
    </row>
    <row r="781">
      <c r="A781" s="23"/>
      <c r="B781" s="43"/>
      <c r="C781" s="43"/>
    </row>
    <row r="782">
      <c r="A782" s="23"/>
      <c r="B782" s="43"/>
      <c r="C782" s="43"/>
    </row>
    <row r="783">
      <c r="A783" s="23"/>
      <c r="B783" s="43"/>
      <c r="C783" s="43"/>
    </row>
    <row r="784">
      <c r="A784" s="23"/>
      <c r="B784" s="43"/>
      <c r="C784" s="43"/>
    </row>
    <row r="785">
      <c r="A785" s="23"/>
      <c r="B785" s="43"/>
      <c r="C785" s="43"/>
    </row>
    <row r="786">
      <c r="A786" s="23"/>
      <c r="B786" s="43"/>
      <c r="C786" s="43"/>
    </row>
    <row r="787">
      <c r="A787" s="23"/>
      <c r="B787" s="43"/>
      <c r="C787" s="43"/>
    </row>
    <row r="788">
      <c r="A788" s="23"/>
      <c r="B788" s="43"/>
      <c r="C788" s="43"/>
    </row>
    <row r="789">
      <c r="A789" s="23"/>
      <c r="B789" s="43"/>
      <c r="C789" s="43"/>
    </row>
    <row r="790">
      <c r="A790" s="23"/>
      <c r="B790" s="43"/>
      <c r="C790" s="43"/>
    </row>
    <row r="791">
      <c r="A791" s="23"/>
      <c r="B791" s="43"/>
      <c r="C791" s="43"/>
    </row>
    <row r="792">
      <c r="A792" s="23"/>
      <c r="B792" s="43"/>
      <c r="C792" s="43"/>
    </row>
    <row r="793">
      <c r="A793" s="23"/>
      <c r="B793" s="43"/>
      <c r="C793" s="43"/>
    </row>
    <row r="794">
      <c r="A794" s="23"/>
      <c r="B794" s="43"/>
      <c r="C794" s="43"/>
    </row>
    <row r="795">
      <c r="A795" s="23"/>
      <c r="B795" s="43"/>
      <c r="C795" s="43"/>
    </row>
    <row r="796">
      <c r="A796" s="23"/>
      <c r="B796" s="43"/>
      <c r="C796" s="43"/>
    </row>
    <row r="797">
      <c r="A797" s="23"/>
      <c r="B797" s="43"/>
      <c r="C797" s="43"/>
    </row>
    <row r="798">
      <c r="A798" s="23"/>
      <c r="B798" s="43"/>
      <c r="C798" s="43"/>
    </row>
    <row r="799">
      <c r="A799" s="23"/>
      <c r="B799" s="43"/>
      <c r="C799" s="43"/>
    </row>
    <row r="800">
      <c r="A800" s="23"/>
      <c r="B800" s="43"/>
      <c r="C800" s="43"/>
    </row>
    <row r="801">
      <c r="A801" s="23"/>
      <c r="B801" s="43"/>
      <c r="C801" s="43"/>
    </row>
    <row r="802">
      <c r="A802" s="23"/>
      <c r="B802" s="43"/>
      <c r="C802" s="43"/>
    </row>
    <row r="803">
      <c r="A803" s="23"/>
      <c r="B803" s="43"/>
      <c r="C803" s="43"/>
    </row>
    <row r="804">
      <c r="A804" s="23"/>
      <c r="B804" s="43"/>
      <c r="C804" s="43"/>
    </row>
    <row r="805">
      <c r="A805" s="23"/>
      <c r="B805" s="43"/>
      <c r="C805" s="43"/>
    </row>
    <row r="806">
      <c r="A806" s="23"/>
      <c r="B806" s="43"/>
      <c r="C806" s="43"/>
    </row>
    <row r="807">
      <c r="A807" s="23"/>
      <c r="B807" s="43"/>
      <c r="C807" s="43"/>
    </row>
    <row r="808">
      <c r="A808" s="23"/>
      <c r="B808" s="43"/>
      <c r="C808" s="43"/>
    </row>
    <row r="809">
      <c r="A809" s="23"/>
      <c r="B809" s="43"/>
      <c r="C809" s="43"/>
    </row>
    <row r="810">
      <c r="A810" s="23"/>
      <c r="B810" s="43"/>
      <c r="C810" s="43"/>
    </row>
    <row r="811">
      <c r="A811" s="23"/>
      <c r="B811" s="43"/>
      <c r="C811" s="43"/>
    </row>
    <row r="812">
      <c r="A812" s="23"/>
      <c r="B812" s="43"/>
      <c r="C812" s="43"/>
    </row>
    <row r="813">
      <c r="A813" s="23"/>
      <c r="B813" s="43"/>
      <c r="C813" s="43"/>
    </row>
    <row r="814">
      <c r="A814" s="23"/>
      <c r="B814" s="43"/>
      <c r="C814" s="43"/>
    </row>
    <row r="815">
      <c r="A815" s="23"/>
      <c r="B815" s="43"/>
      <c r="C815" s="43"/>
    </row>
    <row r="816">
      <c r="A816" s="23"/>
      <c r="B816" s="43"/>
      <c r="C816" s="43"/>
    </row>
    <row r="817">
      <c r="A817" s="23"/>
      <c r="B817" s="43"/>
      <c r="C817" s="43"/>
    </row>
    <row r="818">
      <c r="A818" s="23"/>
      <c r="B818" s="43"/>
      <c r="C818" s="43"/>
    </row>
    <row r="819">
      <c r="A819" s="23"/>
      <c r="B819" s="43"/>
      <c r="C819" s="43"/>
    </row>
    <row r="820">
      <c r="A820" s="23"/>
      <c r="B820" s="43"/>
      <c r="C820" s="43"/>
    </row>
    <row r="821">
      <c r="A821" s="23"/>
      <c r="B821" s="43"/>
      <c r="C821" s="43"/>
    </row>
    <row r="822">
      <c r="A822" s="23"/>
      <c r="B822" s="43"/>
      <c r="C822" s="43"/>
    </row>
    <row r="823">
      <c r="A823" s="23"/>
      <c r="B823" s="43"/>
      <c r="C823" s="43"/>
    </row>
    <row r="824">
      <c r="A824" s="23"/>
      <c r="B824" s="43"/>
      <c r="C824" s="43"/>
    </row>
    <row r="825">
      <c r="A825" s="23"/>
      <c r="B825" s="43"/>
      <c r="C825" s="43"/>
    </row>
    <row r="826">
      <c r="A826" s="23"/>
      <c r="B826" s="43"/>
      <c r="C826" s="43"/>
    </row>
    <row r="827">
      <c r="A827" s="23"/>
      <c r="B827" s="43"/>
      <c r="C827" s="43"/>
    </row>
    <row r="828">
      <c r="A828" s="23"/>
      <c r="B828" s="43"/>
      <c r="C828" s="43"/>
    </row>
    <row r="829">
      <c r="A829" s="23"/>
      <c r="B829" s="43"/>
      <c r="C829" s="43"/>
    </row>
    <row r="830">
      <c r="A830" s="23"/>
      <c r="B830" s="43"/>
      <c r="C830" s="43"/>
    </row>
    <row r="831">
      <c r="A831" s="23"/>
      <c r="B831" s="43"/>
      <c r="C831" s="43"/>
    </row>
    <row r="832">
      <c r="A832" s="23"/>
      <c r="B832" s="43"/>
      <c r="C832" s="43"/>
    </row>
    <row r="833">
      <c r="A833" s="23"/>
      <c r="B833" s="43"/>
      <c r="C833" s="43"/>
    </row>
    <row r="834">
      <c r="A834" s="23"/>
      <c r="B834" s="43"/>
      <c r="C834" s="43"/>
    </row>
    <row r="835">
      <c r="A835" s="23"/>
      <c r="B835" s="43"/>
      <c r="C835" s="43"/>
    </row>
    <row r="836">
      <c r="A836" s="23"/>
      <c r="B836" s="43"/>
      <c r="C836" s="43"/>
    </row>
    <row r="837">
      <c r="A837" s="23"/>
      <c r="B837" s="43"/>
      <c r="C837" s="43"/>
    </row>
    <row r="838">
      <c r="A838" s="23"/>
      <c r="B838" s="43"/>
      <c r="C838" s="43"/>
    </row>
    <row r="839">
      <c r="A839" s="23"/>
      <c r="B839" s="43"/>
      <c r="C839" s="43"/>
    </row>
    <row r="840">
      <c r="A840" s="23"/>
      <c r="B840" s="43"/>
      <c r="C840" s="43"/>
    </row>
    <row r="841">
      <c r="A841" s="23"/>
      <c r="B841" s="43"/>
      <c r="C841" s="43"/>
    </row>
    <row r="842">
      <c r="A842" s="23"/>
      <c r="B842" s="43"/>
      <c r="C842" s="43"/>
    </row>
    <row r="843">
      <c r="A843" s="23"/>
      <c r="B843" s="43"/>
      <c r="C843" s="43"/>
    </row>
    <row r="844">
      <c r="A844" s="23"/>
      <c r="B844" s="43"/>
      <c r="C844" s="43"/>
    </row>
    <row r="845">
      <c r="A845" s="23"/>
      <c r="B845" s="43"/>
      <c r="C845" s="43"/>
    </row>
    <row r="846">
      <c r="A846" s="23"/>
      <c r="B846" s="43"/>
      <c r="C846" s="43"/>
    </row>
    <row r="847">
      <c r="A847" s="23"/>
      <c r="B847" s="43"/>
      <c r="C847" s="43"/>
    </row>
    <row r="848">
      <c r="A848" s="23"/>
      <c r="B848" s="43"/>
      <c r="C848" s="43"/>
    </row>
    <row r="849">
      <c r="A849" s="23"/>
      <c r="B849" s="43"/>
      <c r="C849" s="43"/>
    </row>
    <row r="850">
      <c r="A850" s="23"/>
      <c r="B850" s="43"/>
      <c r="C850" s="43"/>
    </row>
    <row r="851">
      <c r="A851" s="23"/>
      <c r="B851" s="43"/>
      <c r="C851" s="43"/>
    </row>
    <row r="852">
      <c r="A852" s="23"/>
      <c r="B852" s="43"/>
      <c r="C852" s="43"/>
    </row>
    <row r="853">
      <c r="A853" s="23"/>
      <c r="B853" s="43"/>
      <c r="C853" s="43"/>
    </row>
    <row r="854">
      <c r="A854" s="23"/>
      <c r="B854" s="43"/>
      <c r="C854" s="43"/>
    </row>
    <row r="855">
      <c r="A855" s="23"/>
      <c r="B855" s="43"/>
      <c r="C855" s="43"/>
    </row>
    <row r="856">
      <c r="A856" s="23"/>
      <c r="B856" s="43"/>
      <c r="C856" s="43"/>
    </row>
    <row r="857">
      <c r="A857" s="23"/>
      <c r="B857" s="43"/>
      <c r="C857" s="43"/>
    </row>
    <row r="858">
      <c r="A858" s="23"/>
      <c r="B858" s="43"/>
      <c r="C858" s="43"/>
    </row>
    <row r="859">
      <c r="A859" s="23"/>
      <c r="B859" s="43"/>
      <c r="C859" s="43"/>
    </row>
    <row r="860">
      <c r="A860" s="23"/>
      <c r="B860" s="43"/>
      <c r="C860" s="43"/>
    </row>
    <row r="861">
      <c r="A861" s="23"/>
      <c r="B861" s="43"/>
      <c r="C861" s="43"/>
    </row>
    <row r="862">
      <c r="A862" s="23"/>
      <c r="B862" s="43"/>
      <c r="C862" s="43"/>
    </row>
    <row r="863">
      <c r="A863" s="23"/>
      <c r="B863" s="43"/>
      <c r="C863" s="43"/>
    </row>
    <row r="864">
      <c r="A864" s="23"/>
      <c r="B864" s="43"/>
      <c r="C864" s="43"/>
    </row>
    <row r="865">
      <c r="A865" s="23"/>
      <c r="B865" s="43"/>
      <c r="C865" s="43"/>
    </row>
    <row r="866">
      <c r="A866" s="23"/>
      <c r="B866" s="43"/>
      <c r="C866" s="43"/>
    </row>
    <row r="867">
      <c r="A867" s="23"/>
      <c r="B867" s="43"/>
      <c r="C867" s="43"/>
    </row>
    <row r="868">
      <c r="A868" s="23"/>
      <c r="B868" s="43"/>
      <c r="C868" s="43"/>
    </row>
    <row r="869">
      <c r="A869" s="23"/>
      <c r="B869" s="43"/>
      <c r="C869" s="43"/>
    </row>
    <row r="870">
      <c r="A870" s="23"/>
      <c r="B870" s="43"/>
      <c r="C870" s="43"/>
    </row>
    <row r="871">
      <c r="A871" s="23"/>
      <c r="B871" s="43"/>
      <c r="C871" s="43"/>
    </row>
    <row r="872">
      <c r="A872" s="23"/>
      <c r="B872" s="43"/>
      <c r="C872" s="43"/>
    </row>
    <row r="873">
      <c r="A873" s="23"/>
      <c r="B873" s="43"/>
      <c r="C873" s="43"/>
    </row>
    <row r="874">
      <c r="A874" s="23"/>
      <c r="B874" s="43"/>
      <c r="C874" s="43"/>
    </row>
    <row r="875">
      <c r="A875" s="23"/>
      <c r="B875" s="43"/>
      <c r="C875" s="43"/>
    </row>
    <row r="876">
      <c r="A876" s="23"/>
      <c r="B876" s="43"/>
      <c r="C876" s="43"/>
    </row>
    <row r="877">
      <c r="A877" s="23"/>
      <c r="B877" s="43"/>
      <c r="C877" s="43"/>
    </row>
    <row r="878">
      <c r="A878" s="23"/>
      <c r="B878" s="43"/>
      <c r="C878" s="43"/>
    </row>
    <row r="879">
      <c r="A879" s="23"/>
      <c r="B879" s="43"/>
      <c r="C879" s="43"/>
    </row>
    <row r="880">
      <c r="A880" s="23"/>
      <c r="B880" s="43"/>
      <c r="C880" s="43"/>
    </row>
    <row r="881">
      <c r="A881" s="23"/>
      <c r="B881" s="43"/>
      <c r="C881" s="43"/>
    </row>
    <row r="882">
      <c r="A882" s="23"/>
      <c r="B882" s="43"/>
      <c r="C882" s="43"/>
    </row>
    <row r="883">
      <c r="A883" s="23"/>
      <c r="B883" s="43"/>
      <c r="C883" s="43"/>
    </row>
    <row r="884">
      <c r="A884" s="23"/>
      <c r="B884" s="43"/>
      <c r="C884" s="43"/>
    </row>
    <row r="885">
      <c r="A885" s="23"/>
      <c r="B885" s="43"/>
      <c r="C885" s="43"/>
    </row>
    <row r="886">
      <c r="A886" s="23"/>
      <c r="B886" s="43"/>
      <c r="C886" s="43"/>
    </row>
    <row r="887">
      <c r="A887" s="23"/>
      <c r="B887" s="43"/>
      <c r="C887" s="43"/>
    </row>
    <row r="888">
      <c r="A888" s="23"/>
      <c r="B888" s="43"/>
      <c r="C888" s="43"/>
    </row>
    <row r="889">
      <c r="A889" s="23"/>
      <c r="B889" s="43"/>
      <c r="C889" s="43"/>
    </row>
    <row r="890">
      <c r="A890" s="23"/>
      <c r="B890" s="43"/>
      <c r="C890" s="43"/>
    </row>
    <row r="891">
      <c r="A891" s="23"/>
      <c r="B891" s="43"/>
      <c r="C891" s="43"/>
    </row>
    <row r="892">
      <c r="A892" s="23"/>
      <c r="B892" s="43"/>
      <c r="C892" s="43"/>
    </row>
    <row r="893">
      <c r="A893" s="23"/>
      <c r="B893" s="43"/>
      <c r="C893" s="43"/>
    </row>
    <row r="894">
      <c r="A894" s="23"/>
      <c r="B894" s="43"/>
      <c r="C894" s="43"/>
    </row>
    <row r="895">
      <c r="A895" s="23"/>
      <c r="B895" s="43"/>
      <c r="C895" s="43"/>
    </row>
    <row r="896">
      <c r="A896" s="23"/>
      <c r="B896" s="43"/>
      <c r="C896" s="43"/>
    </row>
    <row r="897">
      <c r="A897" s="23"/>
      <c r="B897" s="43"/>
      <c r="C897" s="43"/>
    </row>
    <row r="898">
      <c r="A898" s="23"/>
      <c r="B898" s="43"/>
      <c r="C898" s="43"/>
    </row>
    <row r="899">
      <c r="A899" s="23"/>
      <c r="B899" s="43"/>
      <c r="C899" s="43"/>
    </row>
    <row r="900">
      <c r="A900" s="23"/>
      <c r="B900" s="43"/>
      <c r="C900" s="43"/>
    </row>
    <row r="901">
      <c r="A901" s="23"/>
      <c r="B901" s="43"/>
      <c r="C901" s="43"/>
    </row>
    <row r="902">
      <c r="A902" s="23"/>
      <c r="B902" s="43"/>
      <c r="C902" s="43"/>
    </row>
    <row r="903">
      <c r="A903" s="23"/>
      <c r="B903" s="43"/>
      <c r="C903" s="43"/>
    </row>
    <row r="904">
      <c r="A904" s="23"/>
      <c r="B904" s="43"/>
      <c r="C904" s="43"/>
    </row>
    <row r="905">
      <c r="A905" s="23"/>
      <c r="B905" s="43"/>
      <c r="C905" s="43"/>
    </row>
    <row r="906">
      <c r="A906" s="23"/>
      <c r="B906" s="43"/>
      <c r="C906" s="43"/>
    </row>
    <row r="907">
      <c r="A907" s="23"/>
      <c r="B907" s="43"/>
      <c r="C907" s="43"/>
    </row>
    <row r="908">
      <c r="A908" s="23"/>
      <c r="B908" s="43"/>
      <c r="C908" s="43"/>
    </row>
    <row r="909">
      <c r="A909" s="23"/>
      <c r="B909" s="43"/>
      <c r="C909" s="43"/>
    </row>
    <row r="910">
      <c r="A910" s="23"/>
      <c r="B910" s="43"/>
      <c r="C910" s="43"/>
    </row>
    <row r="911">
      <c r="A911" s="23"/>
      <c r="B911" s="43"/>
      <c r="C911" s="43"/>
    </row>
    <row r="912">
      <c r="A912" s="23"/>
      <c r="B912" s="43"/>
      <c r="C912" s="43"/>
    </row>
    <row r="913">
      <c r="A913" s="23"/>
      <c r="B913" s="43"/>
      <c r="C913" s="43"/>
    </row>
    <row r="914">
      <c r="A914" s="23"/>
      <c r="B914" s="43"/>
      <c r="C914" s="43"/>
    </row>
    <row r="915">
      <c r="A915" s="23"/>
      <c r="B915" s="43"/>
      <c r="C915" s="43"/>
    </row>
    <row r="916">
      <c r="A916" s="23"/>
      <c r="B916" s="43"/>
      <c r="C916" s="43"/>
    </row>
    <row r="917">
      <c r="A917" s="23"/>
      <c r="B917" s="43"/>
      <c r="C917" s="43"/>
    </row>
    <row r="918">
      <c r="A918" s="23"/>
      <c r="B918" s="43"/>
      <c r="C918" s="43"/>
    </row>
    <row r="919">
      <c r="A919" s="23"/>
      <c r="B919" s="43"/>
      <c r="C919" s="43"/>
    </row>
    <row r="920">
      <c r="A920" s="23"/>
      <c r="B920" s="43"/>
      <c r="C920" s="43"/>
    </row>
    <row r="921">
      <c r="A921" s="23"/>
      <c r="B921" s="43"/>
      <c r="C921" s="43"/>
    </row>
    <row r="922">
      <c r="A922" s="23"/>
      <c r="B922" s="43"/>
      <c r="C922" s="43"/>
    </row>
    <row r="923">
      <c r="A923" s="23"/>
      <c r="B923" s="43"/>
      <c r="C923" s="43"/>
    </row>
    <row r="924">
      <c r="A924" s="23"/>
      <c r="B924" s="43"/>
      <c r="C924" s="43"/>
    </row>
    <row r="925">
      <c r="A925" s="23"/>
      <c r="B925" s="43"/>
      <c r="C925" s="43"/>
    </row>
    <row r="926">
      <c r="A926" s="23"/>
      <c r="B926" s="43"/>
      <c r="C926" s="43"/>
    </row>
    <row r="927">
      <c r="A927" s="23"/>
      <c r="B927" s="43"/>
      <c r="C927" s="43"/>
    </row>
    <row r="928">
      <c r="A928" s="23"/>
      <c r="B928" s="43"/>
      <c r="C928" s="43"/>
    </row>
    <row r="929">
      <c r="A929" s="23"/>
      <c r="B929" s="43"/>
      <c r="C929" s="43"/>
    </row>
    <row r="930">
      <c r="A930" s="23"/>
      <c r="B930" s="43"/>
      <c r="C930" s="43"/>
    </row>
    <row r="931">
      <c r="A931" s="23"/>
      <c r="B931" s="43"/>
      <c r="C931" s="43"/>
    </row>
    <row r="932">
      <c r="A932" s="23"/>
      <c r="B932" s="43"/>
      <c r="C932" s="43"/>
    </row>
    <row r="933">
      <c r="A933" s="23"/>
      <c r="B933" s="43"/>
      <c r="C933" s="43"/>
    </row>
    <row r="934">
      <c r="A934" s="23"/>
      <c r="B934" s="43"/>
      <c r="C934" s="43"/>
    </row>
    <row r="935">
      <c r="A935" s="23"/>
      <c r="B935" s="43"/>
      <c r="C935" s="43"/>
    </row>
    <row r="936">
      <c r="A936" s="23"/>
      <c r="B936" s="43"/>
      <c r="C936" s="43"/>
    </row>
    <row r="937">
      <c r="A937" s="23"/>
      <c r="B937" s="43"/>
      <c r="C937" s="43"/>
    </row>
    <row r="938">
      <c r="A938" s="23"/>
      <c r="B938" s="43"/>
      <c r="C938" s="43"/>
    </row>
    <row r="939">
      <c r="A939" s="23"/>
      <c r="B939" s="43"/>
      <c r="C939" s="43"/>
    </row>
    <row r="940">
      <c r="A940" s="23"/>
      <c r="B940" s="43"/>
      <c r="C940" s="43"/>
    </row>
    <row r="941">
      <c r="A941" s="23"/>
      <c r="B941" s="43"/>
      <c r="C941" s="43"/>
    </row>
    <row r="942">
      <c r="A942" s="23"/>
      <c r="B942" s="43"/>
      <c r="C942" s="43"/>
    </row>
    <row r="943">
      <c r="A943" s="23"/>
      <c r="B943" s="43"/>
      <c r="C943" s="43"/>
    </row>
    <row r="944">
      <c r="A944" s="23"/>
      <c r="B944" s="43"/>
      <c r="C944" s="43"/>
    </row>
    <row r="945">
      <c r="A945" s="23"/>
      <c r="B945" s="43"/>
      <c r="C945" s="43"/>
    </row>
    <row r="946">
      <c r="A946" s="23"/>
      <c r="B946" s="43"/>
      <c r="C946" s="43"/>
    </row>
    <row r="947">
      <c r="A947" s="23"/>
      <c r="B947" s="43"/>
      <c r="C947" s="43"/>
    </row>
    <row r="948">
      <c r="A948" s="23"/>
      <c r="B948" s="43"/>
      <c r="C948" s="43"/>
    </row>
    <row r="949">
      <c r="A949" s="23"/>
      <c r="B949" s="43"/>
      <c r="C949" s="43"/>
    </row>
    <row r="950">
      <c r="A950" s="23"/>
      <c r="B950" s="43"/>
      <c r="C950" s="43"/>
    </row>
    <row r="951">
      <c r="A951" s="23"/>
      <c r="B951" s="43"/>
      <c r="C951" s="43"/>
    </row>
    <row r="952">
      <c r="A952" s="23"/>
      <c r="B952" s="43"/>
      <c r="C952" s="43"/>
    </row>
    <row r="953">
      <c r="A953" s="23"/>
      <c r="B953" s="43"/>
      <c r="C953" s="43"/>
    </row>
    <row r="954">
      <c r="A954" s="23"/>
      <c r="B954" s="43"/>
      <c r="C954" s="43"/>
    </row>
    <row r="955">
      <c r="A955" s="23"/>
      <c r="B955" s="43"/>
      <c r="C955" s="43"/>
    </row>
    <row r="956">
      <c r="A956" s="23"/>
      <c r="B956" s="43"/>
      <c r="C956" s="43"/>
    </row>
    <row r="957">
      <c r="A957" s="23"/>
      <c r="B957" s="43"/>
      <c r="C957" s="43"/>
    </row>
    <row r="958">
      <c r="A958" s="23"/>
      <c r="B958" s="43"/>
      <c r="C958" s="43"/>
    </row>
    <row r="959">
      <c r="A959" s="23"/>
      <c r="B959" s="43"/>
      <c r="C959" s="43"/>
    </row>
    <row r="960">
      <c r="A960" s="23"/>
      <c r="B960" s="43"/>
      <c r="C960" s="43"/>
    </row>
    <row r="961">
      <c r="A961" s="23"/>
      <c r="B961" s="43"/>
      <c r="C961" s="43"/>
    </row>
    <row r="962">
      <c r="A962" s="23"/>
      <c r="B962" s="43"/>
      <c r="C962" s="43"/>
    </row>
    <row r="963">
      <c r="A963" s="23"/>
      <c r="B963" s="43"/>
      <c r="C963" s="43"/>
    </row>
    <row r="964">
      <c r="A964" s="23"/>
      <c r="B964" s="43"/>
      <c r="C964" s="43"/>
    </row>
    <row r="965">
      <c r="A965" s="23"/>
      <c r="B965" s="43"/>
      <c r="C965" s="43"/>
    </row>
    <row r="966">
      <c r="A966" s="23"/>
      <c r="B966" s="43"/>
      <c r="C966" s="43"/>
    </row>
    <row r="967">
      <c r="A967" s="23"/>
      <c r="B967" s="43"/>
      <c r="C967" s="43"/>
    </row>
    <row r="968">
      <c r="A968" s="23"/>
      <c r="B968" s="43"/>
      <c r="C968" s="43"/>
    </row>
    <row r="969">
      <c r="A969" s="23"/>
      <c r="B969" s="43"/>
      <c r="C969" s="43"/>
    </row>
    <row r="970">
      <c r="A970" s="23"/>
      <c r="B970" s="43"/>
      <c r="C970" s="43"/>
    </row>
    <row r="971">
      <c r="A971" s="23"/>
      <c r="B971" s="43"/>
      <c r="C971" s="43"/>
    </row>
    <row r="972">
      <c r="A972" s="23"/>
      <c r="B972" s="43"/>
      <c r="C972" s="43"/>
    </row>
    <row r="973">
      <c r="A973" s="23"/>
      <c r="B973" s="43"/>
      <c r="C973" s="43"/>
    </row>
    <row r="974">
      <c r="A974" s="23"/>
      <c r="B974" s="43"/>
      <c r="C974" s="43"/>
    </row>
    <row r="975">
      <c r="A975" s="23"/>
      <c r="B975" s="43"/>
      <c r="C975" s="43"/>
    </row>
    <row r="976">
      <c r="A976" s="23"/>
      <c r="B976" s="43"/>
      <c r="C976" s="43"/>
    </row>
    <row r="977">
      <c r="A977" s="23"/>
      <c r="B977" s="43"/>
      <c r="C977" s="43"/>
    </row>
    <row r="978">
      <c r="A978" s="23"/>
      <c r="B978" s="43"/>
      <c r="C978" s="43"/>
    </row>
    <row r="979">
      <c r="A979" s="23"/>
      <c r="B979" s="43"/>
      <c r="C979" s="43"/>
    </row>
    <row r="980">
      <c r="A980" s="23"/>
      <c r="B980" s="43"/>
      <c r="C980" s="43"/>
    </row>
    <row r="981">
      <c r="A981" s="23"/>
      <c r="B981" s="43"/>
      <c r="C981" s="43"/>
    </row>
    <row r="982">
      <c r="A982" s="23"/>
      <c r="B982" s="43"/>
      <c r="C982" s="43"/>
    </row>
    <row r="983">
      <c r="A983" s="23"/>
      <c r="B983" s="43"/>
      <c r="C983" s="43"/>
    </row>
    <row r="984">
      <c r="A984" s="23"/>
      <c r="B984" s="43"/>
      <c r="C984" s="43"/>
    </row>
    <row r="985">
      <c r="A985" s="23"/>
      <c r="B985" s="43"/>
      <c r="C985" s="43"/>
    </row>
    <row r="986">
      <c r="A986" s="23"/>
      <c r="B986" s="43"/>
      <c r="C986" s="43"/>
    </row>
    <row r="987">
      <c r="A987" s="23"/>
      <c r="B987" s="43"/>
      <c r="C987" s="43"/>
    </row>
    <row r="988">
      <c r="A988" s="23"/>
      <c r="B988" s="43"/>
      <c r="C988" s="43"/>
    </row>
    <row r="989">
      <c r="A989" s="23"/>
      <c r="B989" s="43"/>
      <c r="C989" s="43"/>
    </row>
    <row r="990">
      <c r="A990" s="23"/>
      <c r="B990" s="43"/>
      <c r="C990" s="43"/>
    </row>
    <row r="991">
      <c r="A991" s="23"/>
      <c r="B991" s="43"/>
      <c r="C991" s="43"/>
    </row>
    <row r="992">
      <c r="A992" s="23"/>
      <c r="B992" s="43"/>
      <c r="C992" s="43"/>
    </row>
    <row r="993">
      <c r="A993" s="23"/>
      <c r="B993" s="43"/>
      <c r="C993" s="43"/>
    </row>
    <row r="994">
      <c r="A994" s="23"/>
      <c r="B994" s="43"/>
      <c r="C994" s="43"/>
    </row>
    <row r="995">
      <c r="A995" s="23"/>
      <c r="B995" s="43"/>
      <c r="C995" s="43"/>
    </row>
    <row r="996">
      <c r="A996" s="23"/>
      <c r="B996" s="43"/>
      <c r="C996" s="43"/>
    </row>
    <row r="997">
      <c r="A997" s="23"/>
      <c r="B997" s="43"/>
      <c r="C997" s="43"/>
    </row>
    <row r="998">
      <c r="A998" s="23"/>
      <c r="B998" s="43"/>
      <c r="C998" s="43"/>
    </row>
    <row r="999">
      <c r="A999" s="23"/>
      <c r="B999" s="43"/>
      <c r="C999" s="43"/>
    </row>
    <row r="1000">
      <c r="A1000" s="23"/>
      <c r="B1000" s="43"/>
      <c r="C1000" s="43"/>
    </row>
  </sheetData>
  <drawing r:id="rId1"/>
</worksheet>
</file>